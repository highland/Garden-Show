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drawings/drawing6.xml" ContentType="application/vnd.openxmlformats-officedocument.drawing+xml"/>
  <Override PartName="/xl/activeX/activeX10.xml" ContentType="application/vnd.ms-office.activeX+xml"/>
  <Override PartName="/xl/activeX/activeX10.bin" ContentType="application/vnd.ms-office.activeX"/>
  <Override PartName="/xl/drawings/drawing7.xml" ContentType="application/vnd.openxmlformats-officedocument.drawing+xml"/>
  <Override PartName="/xl/activeX/activeX11.xml" ContentType="application/vnd.ms-office.activeX+xml"/>
  <Override PartName="/xl/activeX/activeX11.bin" ContentType="application/vnd.ms-office.activeX"/>
  <Override PartName="/xl/drawings/drawing8.xml" ContentType="application/vnd.openxmlformats-officedocument.drawing+xml"/>
  <Override PartName="/xl/activeX/activeX12.xml" ContentType="application/vnd.ms-office.activeX+xml"/>
  <Override PartName="/xl/activeX/activeX12.bin" ContentType="application/vnd.ms-office.activeX"/>
  <Override PartName="/xl/drawings/drawing9.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drawings/drawing10.xml" ContentType="application/vnd.openxmlformats-officedocument.drawing+xml"/>
  <Override PartName="/xl/activeX/activeX16.xml" ContentType="application/vnd.ms-office.activeX+xml"/>
  <Override PartName="/xl/activeX/activeX16.bin" ContentType="application/vnd.ms-office.activeX"/>
  <Override PartName="/xl/drawings/drawing11.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drawings/drawing12.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831" codeName="{AE6600E7-7A62-396C-DE95-9942FA9DD81E}"/>
  <workbookPr codeName="ThisWorkbook" defaultThemeVersion="124226"/>
  <mc:AlternateContent xmlns:mc="http://schemas.openxmlformats.org/markup-compatibility/2006">
    <mc:Choice Requires="x15">
      <x15ac:absPath xmlns:x15ac="http://schemas.microsoft.com/office/spreadsheetml/2010/11/ac" url="D:\BGC Show\"/>
    </mc:Choice>
  </mc:AlternateContent>
  <xr:revisionPtr revIDLastSave="0" documentId="13_ncr:1_{356405F1-431A-42C8-A323-7C4EC754EFF1}" xr6:coauthVersionLast="47" xr6:coauthVersionMax="47" xr10:uidLastSave="{00000000-0000-0000-0000-000000000000}"/>
  <workbookProtection lockStructure="1"/>
  <bookViews>
    <workbookView xWindow="-108" yWindow="-108" windowWidth="23256" windowHeight="12456" firstSheet="8" activeTab="15" xr2:uid="{00000000-000D-0000-FFFF-FFFF00000000}"/>
  </bookViews>
  <sheets>
    <sheet name="Names" sheetId="1" r:id="rId1"/>
    <sheet name="Classes" sheetId="26" r:id="rId2"/>
    <sheet name="Sheet2" sheetId="36" r:id="rId3"/>
    <sheet name="A-Vegs." sheetId="5" r:id="rId4"/>
    <sheet name="B-Flowers" sheetId="2" r:id="rId5"/>
    <sheet name="C+D+E" sheetId="18" r:id="rId6"/>
    <sheet name="F+G" sheetId="7" r:id="rId7"/>
    <sheet name="K-Jams" sheetId="12" r:id="rId8"/>
    <sheet name="L-Bakng" sheetId="8" r:id="rId9"/>
    <sheet name="M-Drinks" sheetId="20" r:id="rId10"/>
    <sheet name="N+P+Q" sheetId="11" r:id="rId11"/>
    <sheet name="Bests" sheetId="34" r:id="rId12"/>
    <sheet name="Strathy Report" sheetId="33" r:id="rId13"/>
    <sheet name="Awards" sheetId="27" r:id="rId14"/>
    <sheet name="Spud weights" sheetId="16" r:id="rId15"/>
    <sheet name="Sections" sheetId="30" r:id="rId16"/>
  </sheets>
  <functionGroups builtInGroupCount="19"/>
  <definedNames>
    <definedName name="_xlnm._FilterDatabase" localSheetId="0" hidden="1">Names!$A$2:$J$2</definedName>
    <definedName name="_xlnm.Print_Area" localSheetId="3">'A-Vegs.'!$A$1:$H$28</definedName>
    <definedName name="_xlnm.Print_Area" localSheetId="13">Awards!$I$1:$L$18</definedName>
    <definedName name="_xlnm.Print_Area" localSheetId="11">Bests!$A$1:$E$29</definedName>
    <definedName name="_xlnm.Print_Area" localSheetId="4">'B-Flowers'!$A$1:$I$20</definedName>
    <definedName name="_xlnm.Print_Area" localSheetId="5">'C+D+E'!$A$1:$I$27</definedName>
    <definedName name="_xlnm.Print_Area" localSheetId="1">Classes!$L$2:$Q$123</definedName>
    <definedName name="_xlnm.Print_Area" localSheetId="6">'F+G'!$A$1:$I$23</definedName>
    <definedName name="_xlnm.Print_Area" localSheetId="7">'K-Jams'!$A$1:$I$20</definedName>
    <definedName name="_xlnm.Print_Area" localSheetId="8">'L-Bakng'!$A$1:$I$22</definedName>
    <definedName name="_xlnm.Print_Area" localSheetId="9">'M-Drinks'!$A$1:$I$12</definedName>
    <definedName name="_xlnm.Print_Area" localSheetId="10">'N+P+Q'!$A$1:$I$26</definedName>
    <definedName name="_xlnm.Print_Area" localSheetId="0">Names!$B$1:$E$2</definedName>
    <definedName name="_xlnm.Print_Area" localSheetId="14">'Spud weights'!$A$1:$K$32</definedName>
    <definedName name="Z_468281ED_4ADC_4BB5_9EE5_E9016B5EB30D_.wvu.PrintArea" localSheetId="3" hidden="1">'A-Vegs.'!$A$1:$I$30</definedName>
    <definedName name="Z_468281ED_4ADC_4BB5_9EE5_E9016B5EB30D_.wvu.PrintArea" localSheetId="13" hidden="1">Awards!$I$1:$I$18</definedName>
    <definedName name="Z_468281ED_4ADC_4BB5_9EE5_E9016B5EB30D_.wvu.PrintArea" localSheetId="11" hidden="1">Bests!$A$1:$E$29</definedName>
    <definedName name="Z_468281ED_4ADC_4BB5_9EE5_E9016B5EB30D_.wvu.PrintArea" localSheetId="4" hidden="1">'B-Flowers'!$A$1:$I$20</definedName>
    <definedName name="Z_468281ED_4ADC_4BB5_9EE5_E9016B5EB30D_.wvu.PrintArea" localSheetId="5" hidden="1">'C+D+E'!$A$1:$I$27</definedName>
    <definedName name="Z_468281ED_4ADC_4BB5_9EE5_E9016B5EB30D_.wvu.PrintArea" localSheetId="1" hidden="1">Classes!$L$2:$Q$123</definedName>
    <definedName name="Z_468281ED_4ADC_4BB5_9EE5_E9016B5EB30D_.wvu.PrintArea" localSheetId="6" hidden="1">'F+G'!$A$1:$I$23</definedName>
    <definedName name="Z_468281ED_4ADC_4BB5_9EE5_E9016B5EB30D_.wvu.PrintArea" localSheetId="7" hidden="1">'K-Jams'!$A$1:$I$20</definedName>
    <definedName name="Z_468281ED_4ADC_4BB5_9EE5_E9016B5EB30D_.wvu.PrintArea" localSheetId="8" hidden="1">'L-Bakng'!$A$1:$I$32</definedName>
    <definedName name="Z_468281ED_4ADC_4BB5_9EE5_E9016B5EB30D_.wvu.PrintArea" localSheetId="9" hidden="1">'M-Drinks'!$A$1:$I$19</definedName>
    <definedName name="Z_468281ED_4ADC_4BB5_9EE5_E9016B5EB30D_.wvu.PrintArea" localSheetId="10" hidden="1">'N+P+Q'!$A$1:$I$26</definedName>
    <definedName name="Z_468281ED_4ADC_4BB5_9EE5_E9016B5EB30D_.wvu.PrintArea" localSheetId="0" hidden="1">Names!$B$1:$E$2</definedName>
    <definedName name="Z_468281ED_4ADC_4BB5_9EE5_E9016B5EB30D_.wvu.PrintArea" localSheetId="14" hidden="1">'Spud weights'!$B$1:$H$32</definedName>
  </definedNames>
  <calcPr calcId="191029"/>
  <customWorkbookViews>
    <customWorkbookView name="printarea" guid="{468281ED-4ADC-4BB5-9EE5-E9016B5EB30D}" includeHiddenRowCol="0" maximized="1" xWindow="-11" yWindow="-11" windowWidth="1942" windowHeight="1042" tabRatio="633" activeSheetId="5"/>
  </customWorkbookView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Z3" i="1" l="1"/>
  <c r="Z4" i="1"/>
  <c r="Z5" i="1"/>
  <c r="Z6" i="1"/>
  <c r="Z7" i="1"/>
  <c r="Z8" i="1"/>
  <c r="Z9" i="1"/>
  <c r="Z10" i="1"/>
  <c r="Z11" i="1"/>
  <c r="Z12" i="1"/>
  <c r="Z13" i="1"/>
  <c r="Z14" i="1"/>
  <c r="Z15" i="1"/>
  <c r="Z16" i="1"/>
  <c r="Z17" i="1"/>
  <c r="Z18" i="1"/>
  <c r="Z19" i="1"/>
  <c r="Z20" i="1"/>
  <c r="Z21" i="1"/>
  <c r="Z22" i="1"/>
  <c r="Z23" i="1"/>
  <c r="Z24" i="1"/>
  <c r="Z25" i="1"/>
  <c r="Z26" i="1"/>
  <c r="Z27" i="1"/>
  <c r="Z28" i="1"/>
  <c r="Z29" i="1"/>
  <c r="Z30" i="1"/>
  <c r="Z31" i="1"/>
  <c r="Z32" i="1"/>
  <c r="Z33" i="1"/>
  <c r="Z34" i="1"/>
  <c r="Z35" i="1"/>
  <c r="Z36" i="1"/>
  <c r="Z37" i="1"/>
  <c r="Z38" i="1"/>
  <c r="Z39" i="1"/>
  <c r="Z40" i="1"/>
  <c r="Z41" i="1"/>
  <c r="Z42" i="1"/>
  <c r="Z43" i="1"/>
  <c r="Z44" i="1"/>
  <c r="Z45" i="1"/>
  <c r="B4" i="27" l="1"/>
  <c r="B3" i="27"/>
  <c r="B7" i="27" l="1"/>
  <c r="C7" i="27"/>
  <c r="D7" i="27"/>
  <c r="B8" i="27"/>
  <c r="C8" i="27"/>
  <c r="D8" i="27"/>
  <c r="B9" i="27"/>
  <c r="C9" i="27"/>
  <c r="D9" i="27"/>
  <c r="B10" i="27"/>
  <c r="C10" i="27"/>
  <c r="D10" i="27"/>
  <c r="B11" i="27"/>
  <c r="C11" i="27"/>
  <c r="D11" i="27"/>
  <c r="B12" i="27"/>
  <c r="C12" i="27"/>
  <c r="D12" i="27"/>
  <c r="B13" i="27"/>
  <c r="C13" i="27"/>
  <c r="D13" i="27"/>
  <c r="B14" i="27"/>
  <c r="C14" i="27"/>
  <c r="D14" i="27"/>
  <c r="B15" i="27"/>
  <c r="C15" i="27"/>
  <c r="D15" i="27"/>
  <c r="C6" i="27"/>
  <c r="D6" i="27"/>
  <c r="B6" i="27"/>
  <c r="F127" i="26" l="1"/>
  <c r="M17" i="27" l="1"/>
  <c r="M15" i="27"/>
  <c r="M14" i="27"/>
  <c r="M13" i="27"/>
  <c r="L17" i="27"/>
  <c r="L16" i="27"/>
  <c r="L15" i="27"/>
  <c r="L14" i="27"/>
  <c r="L13" i="27"/>
  <c r="K13" i="27"/>
  <c r="K17" i="27"/>
  <c r="K16" i="27"/>
  <c r="K15" i="27"/>
  <c r="K14" i="27"/>
  <c r="K12" i="27"/>
  <c r="K11" i="27"/>
  <c r="K10" i="27"/>
  <c r="K9" i="27"/>
  <c r="K8" i="27"/>
  <c r="K7" i="27"/>
  <c r="K6" i="27"/>
  <c r="K5" i="27"/>
  <c r="K4" i="27"/>
  <c r="K3" i="27"/>
  <c r="G5" i="27" l="1"/>
  <c r="AD127" i="26" l="1"/>
  <c r="AE127" i="26"/>
  <c r="AF127" i="26"/>
  <c r="AC127" i="26"/>
  <c r="AH44" i="26"/>
  <c r="AH4" i="26"/>
  <c r="AH5" i="26"/>
  <c r="AH6" i="26"/>
  <c r="AH7" i="26"/>
  <c r="AH8" i="26"/>
  <c r="AH9" i="26"/>
  <c r="AH10" i="26"/>
  <c r="AH11" i="26"/>
  <c r="AH12" i="26"/>
  <c r="AH13" i="26"/>
  <c r="AH14" i="26"/>
  <c r="AH15" i="26"/>
  <c r="AH16" i="26"/>
  <c r="AH17" i="26"/>
  <c r="AH18" i="26"/>
  <c r="AH19" i="26"/>
  <c r="AH20" i="26"/>
  <c r="AH21" i="26"/>
  <c r="AH22" i="26"/>
  <c r="AH23" i="26"/>
  <c r="AH24" i="26"/>
  <c r="AH25" i="26"/>
  <c r="AH26" i="26"/>
  <c r="AH27" i="26"/>
  <c r="AH28" i="26"/>
  <c r="AH29" i="26"/>
  <c r="AH30" i="26"/>
  <c r="AH31" i="26"/>
  <c r="AH32" i="26"/>
  <c r="AH33" i="26"/>
  <c r="AH34" i="26"/>
  <c r="AH35" i="26"/>
  <c r="AH36" i="26"/>
  <c r="AH37" i="26"/>
  <c r="AH38" i="26"/>
  <c r="AH39" i="26"/>
  <c r="AH40" i="26"/>
  <c r="AH41" i="26"/>
  <c r="AH42" i="26"/>
  <c r="AH43" i="26"/>
  <c r="AH45" i="26"/>
  <c r="AH46" i="26"/>
  <c r="AH47" i="26"/>
  <c r="AH48" i="26"/>
  <c r="AH49" i="26"/>
  <c r="AH50" i="26"/>
  <c r="AH51" i="26"/>
  <c r="AH52" i="26"/>
  <c r="AH53" i="26"/>
  <c r="AH54" i="26"/>
  <c r="AH55" i="26"/>
  <c r="AH56" i="26"/>
  <c r="AH57" i="26"/>
  <c r="AH58" i="26"/>
  <c r="AH59" i="26"/>
  <c r="AH60" i="26"/>
  <c r="AH61" i="26"/>
  <c r="AH62" i="26"/>
  <c r="AH63" i="26"/>
  <c r="AH64" i="26"/>
  <c r="AH65" i="26"/>
  <c r="AH66" i="26"/>
  <c r="AH67" i="26"/>
  <c r="AH68" i="26"/>
  <c r="AH69" i="26"/>
  <c r="AH70" i="26"/>
  <c r="AH71" i="26"/>
  <c r="AH72" i="26"/>
  <c r="AH73" i="26"/>
  <c r="AH74" i="26"/>
  <c r="AH75" i="26"/>
  <c r="AH76" i="26"/>
  <c r="AH77" i="26"/>
  <c r="AH78" i="26"/>
  <c r="AH79" i="26"/>
  <c r="AH80" i="26"/>
  <c r="AH81" i="26"/>
  <c r="AH82" i="26"/>
  <c r="AH83" i="26"/>
  <c r="AH84" i="26"/>
  <c r="AH85" i="26"/>
  <c r="AH86" i="26"/>
  <c r="AH87" i="26"/>
  <c r="AH88" i="26"/>
  <c r="AH89" i="26"/>
  <c r="AH90" i="26"/>
  <c r="AH91" i="26"/>
  <c r="AH92" i="26"/>
  <c r="AH93" i="26"/>
  <c r="AH94" i="26"/>
  <c r="AH95" i="26"/>
  <c r="AH96" i="26"/>
  <c r="AH97" i="26"/>
  <c r="AH98" i="26"/>
  <c r="AH99" i="26"/>
  <c r="AH100" i="26"/>
  <c r="AH101" i="26"/>
  <c r="AH102" i="26"/>
  <c r="AH103" i="26"/>
  <c r="AH104" i="26"/>
  <c r="AH105" i="26"/>
  <c r="AH106" i="26"/>
  <c r="AH107" i="26"/>
  <c r="AH108" i="26"/>
  <c r="AH109" i="26"/>
  <c r="AH110" i="26"/>
  <c r="AH111" i="26"/>
  <c r="AH112" i="26"/>
  <c r="AH113" i="26"/>
  <c r="AH114" i="26"/>
  <c r="AH115" i="26"/>
  <c r="AH116" i="26"/>
  <c r="AH117" i="26"/>
  <c r="AH118" i="26"/>
  <c r="AH119" i="26"/>
  <c r="AH120" i="26"/>
  <c r="AH121" i="26"/>
  <c r="AH122" i="26"/>
  <c r="AH123" i="26"/>
  <c r="AH124" i="26"/>
  <c r="AH3" i="26"/>
  <c r="Q125" i="26"/>
  <c r="AC2" i="1" l="1"/>
  <c r="G19" i="27" l="1"/>
  <c r="G18" i="27"/>
  <c r="G17" i="27"/>
  <c r="G16" i="27"/>
  <c r="G15" i="27"/>
  <c r="G14" i="27"/>
  <c r="G13" i="27"/>
  <c r="G11" i="27"/>
  <c r="G12" i="27"/>
  <c r="G10" i="27"/>
  <c r="G9" i="27"/>
  <c r="G8" i="27"/>
  <c r="G7" i="27"/>
  <c r="G6" i="27"/>
  <c r="G4" i="27"/>
  <c r="G3" i="27"/>
  <c r="F23" i="16" l="1"/>
  <c r="G23" i="16" s="1"/>
  <c r="F24" i="16"/>
  <c r="G24" i="16" s="1"/>
  <c r="F25" i="16"/>
  <c r="G25" i="16"/>
  <c r="F26" i="16"/>
  <c r="G26" i="16"/>
  <c r="F31" i="16"/>
  <c r="G31" i="1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George</author>
  </authors>
  <commentList>
    <comment ref="A2" authorId="0" shapeId="0" xr:uid="{00000000-0006-0000-0400-000001000000}">
      <text>
        <r>
          <rPr>
            <b/>
            <sz val="9"/>
            <color indexed="81"/>
            <rFont val="Tahoma"/>
            <family val="2"/>
          </rPr>
          <t>An uppercase X will cause this person's complete entry to be deleted next time the name list is updated.
Note: names can't be edited; they have to be deleted and re-entered at the bottom of the list.</t>
        </r>
        <r>
          <rPr>
            <sz val="9"/>
            <color indexed="81"/>
            <rFont val="Tahoma"/>
            <family val="2"/>
          </rPr>
          <t xml:space="preserve">
</t>
        </r>
      </text>
    </comment>
    <comment ref="D2" authorId="0" shapeId="0" xr:uid="{00000000-0006-0000-0400-000002000000}">
      <text>
        <r>
          <rPr>
            <b/>
            <sz val="9"/>
            <color indexed="81"/>
            <rFont val="Tahoma"/>
            <family val="2"/>
          </rPr>
          <t>Anyone who has won a vegetable trophy in the last 10 years is NOT eligible for the Green Gardener Trophy</t>
        </r>
        <r>
          <rPr>
            <sz val="9"/>
            <color indexed="81"/>
            <rFont val="Tahoma"/>
            <family val="2"/>
          </rPr>
          <t xml:space="preserve">
</t>
        </r>
      </text>
    </comment>
  </commentList>
</comments>
</file>

<file path=xl/sharedStrings.xml><?xml version="1.0" encoding="utf-8"?>
<sst xmlns="http://schemas.openxmlformats.org/spreadsheetml/2006/main" count="2507" uniqueCount="958">
  <si>
    <t>Class</t>
  </si>
  <si>
    <t>1st Prize</t>
  </si>
  <si>
    <t>2nd Prize</t>
  </si>
  <si>
    <t>3rd Prize</t>
  </si>
  <si>
    <t>1 fragrant rose</t>
  </si>
  <si>
    <t>1 rose</t>
  </si>
  <si>
    <t>Description</t>
  </si>
  <si>
    <t>no. of entries</t>
  </si>
  <si>
    <t>Beth Alder</t>
  </si>
  <si>
    <t>George Alder</t>
  </si>
  <si>
    <t>Sheila Friend</t>
  </si>
  <si>
    <t>Fran Raw</t>
  </si>
  <si>
    <t>sweet peas: mixed varieties: 
7 stems</t>
  </si>
  <si>
    <t>dahlias: 3 flower types: 
3 blooms</t>
  </si>
  <si>
    <t xml:space="preserve"> potatoes - coloured</t>
  </si>
  <si>
    <t xml:space="preserve"> pods of peas</t>
  </si>
  <si>
    <t xml:space="preserve"> broad beans</t>
  </si>
  <si>
    <t xml:space="preserve"> runner beans</t>
  </si>
  <si>
    <t xml:space="preserve"> french beans</t>
  </si>
  <si>
    <t>A2</t>
  </si>
  <si>
    <t>A3</t>
  </si>
  <si>
    <t>A4</t>
  </si>
  <si>
    <t>A5</t>
  </si>
  <si>
    <t>A6</t>
  </si>
  <si>
    <t>A7</t>
  </si>
  <si>
    <t>A8</t>
  </si>
  <si>
    <t>A10</t>
  </si>
  <si>
    <t>A11</t>
  </si>
  <si>
    <t>A12</t>
  </si>
  <si>
    <t>A13</t>
  </si>
  <si>
    <t>A14</t>
  </si>
  <si>
    <t>A15</t>
  </si>
  <si>
    <t>A16</t>
  </si>
  <si>
    <t>A17</t>
  </si>
  <si>
    <t>A19</t>
  </si>
  <si>
    <t>A20</t>
  </si>
  <si>
    <t>A21</t>
  </si>
  <si>
    <t>A22</t>
  </si>
  <si>
    <t>A23</t>
  </si>
  <si>
    <t>A24</t>
  </si>
  <si>
    <t>A25</t>
  </si>
  <si>
    <t>Section A: Vegetables</t>
  </si>
  <si>
    <t>B1</t>
  </si>
  <si>
    <t>B2</t>
  </si>
  <si>
    <t>B3</t>
  </si>
  <si>
    <t>B4</t>
  </si>
  <si>
    <t>B5</t>
  </si>
  <si>
    <t>B6</t>
  </si>
  <si>
    <t>B7</t>
  </si>
  <si>
    <t>B8</t>
  </si>
  <si>
    <t>B9</t>
  </si>
  <si>
    <t>B10</t>
  </si>
  <si>
    <t>B11</t>
  </si>
  <si>
    <t>B12</t>
  </si>
  <si>
    <t>B13</t>
  </si>
  <si>
    <t>B14</t>
  </si>
  <si>
    <t>Section B: Cut Flowers</t>
  </si>
  <si>
    <t>C1</t>
  </si>
  <si>
    <t>single cactus</t>
  </si>
  <si>
    <t>C2</t>
  </si>
  <si>
    <t>cactus/succulent collection</t>
  </si>
  <si>
    <t>C3</t>
  </si>
  <si>
    <t>single succulent</t>
  </si>
  <si>
    <t>D1</t>
  </si>
  <si>
    <t>D2</t>
  </si>
  <si>
    <t>D3</t>
  </si>
  <si>
    <t>D4</t>
  </si>
  <si>
    <t>D5</t>
  </si>
  <si>
    <t>El</t>
  </si>
  <si>
    <t>E2</t>
  </si>
  <si>
    <t xml:space="preserve">A floating arrangement table decoration </t>
  </si>
  <si>
    <t>E3</t>
  </si>
  <si>
    <t>Fl</t>
  </si>
  <si>
    <t>fuchsia</t>
  </si>
  <si>
    <t>GI</t>
  </si>
  <si>
    <t>hanging basket/pouch</t>
  </si>
  <si>
    <t>G2</t>
  </si>
  <si>
    <t>planted outdoor container</t>
  </si>
  <si>
    <t>K1</t>
  </si>
  <si>
    <t>jar of pickle, chutney or relish</t>
  </si>
  <si>
    <t>K2</t>
  </si>
  <si>
    <t>jar of apricot jam</t>
  </si>
  <si>
    <t>K3</t>
  </si>
  <si>
    <t>jar of strawberry jam</t>
  </si>
  <si>
    <t>K4</t>
  </si>
  <si>
    <t>jar of raspberry jam</t>
  </si>
  <si>
    <t>K5</t>
  </si>
  <si>
    <t>jar of blackcurrant jam</t>
  </si>
  <si>
    <t>K6</t>
  </si>
  <si>
    <t>jar of redcurrant jelly</t>
  </si>
  <si>
    <t>K7</t>
  </si>
  <si>
    <t>jar of marmalade</t>
  </si>
  <si>
    <t>K8</t>
  </si>
  <si>
    <t>jar of lemon curd</t>
  </si>
  <si>
    <t>K9</t>
  </si>
  <si>
    <t>K10</t>
  </si>
  <si>
    <t>K11</t>
  </si>
  <si>
    <t>6 squares of tablet</t>
  </si>
  <si>
    <t>4 chocolate truffles</t>
  </si>
  <si>
    <t>L1</t>
  </si>
  <si>
    <t>4 pancakes</t>
  </si>
  <si>
    <t>L2</t>
  </si>
  <si>
    <t>gingerbread</t>
  </si>
  <si>
    <t>L3</t>
  </si>
  <si>
    <t>iced carrot cake</t>
  </si>
  <si>
    <t>L4</t>
  </si>
  <si>
    <t>4 pieces of brownies</t>
  </si>
  <si>
    <t>L5</t>
  </si>
  <si>
    <t>4 plain oven scones</t>
  </si>
  <si>
    <t>L6</t>
  </si>
  <si>
    <t>L7</t>
  </si>
  <si>
    <t>4 decorated cup cakes</t>
  </si>
  <si>
    <t>L8</t>
  </si>
  <si>
    <t>4 meringues (no filling)</t>
  </si>
  <si>
    <t>L9</t>
  </si>
  <si>
    <t>fruit loaf</t>
  </si>
  <si>
    <t>L10</t>
  </si>
  <si>
    <t>L12</t>
  </si>
  <si>
    <t>loaf of white bread (machine)</t>
  </si>
  <si>
    <t>L13</t>
  </si>
  <si>
    <t>L14</t>
  </si>
  <si>
    <t>L11</t>
  </si>
  <si>
    <t>N1</t>
  </si>
  <si>
    <t>N2</t>
  </si>
  <si>
    <t>N3</t>
  </si>
  <si>
    <t>P1</t>
  </si>
  <si>
    <t>P2</t>
  </si>
  <si>
    <t>Q1</t>
  </si>
  <si>
    <t>Q2</t>
  </si>
  <si>
    <t>Q3</t>
  </si>
  <si>
    <t>Q: CRAFTS</t>
  </si>
  <si>
    <t>jar of any other jam/jelly</t>
  </si>
  <si>
    <t>Section K: Preserves &amp; Sweets</t>
  </si>
  <si>
    <t>Section L: Baking</t>
  </si>
  <si>
    <t>no.  of entries</t>
  </si>
  <si>
    <t>Exhibitors'
Initial Codes</t>
  </si>
  <si>
    <t>exhibitor</t>
  </si>
  <si>
    <t>Best flowering pot  plant (D3-D5)</t>
  </si>
  <si>
    <t>Marielle Barclay</t>
  </si>
  <si>
    <t>Catherine Downie</t>
  </si>
  <si>
    <t>Lynda Dodd</t>
  </si>
  <si>
    <t>Eric Dodd</t>
  </si>
  <si>
    <t>Laura Pierce</t>
  </si>
  <si>
    <t>Sue Thomas</t>
  </si>
  <si>
    <t>Adeline Balharry</t>
  </si>
  <si>
    <t xml:space="preserve"> potatoes - white</t>
  </si>
  <si>
    <t xml:space="preserve"> mange tout/s-snap peas</t>
  </si>
  <si>
    <t>carrots -pointed</t>
  </si>
  <si>
    <t>carrots - stump/ball</t>
  </si>
  <si>
    <t>cabbage</t>
  </si>
  <si>
    <t>cauliflower</t>
  </si>
  <si>
    <t>cherry tomatoes</t>
  </si>
  <si>
    <t>tomatoes</t>
  </si>
  <si>
    <t>cucumber</t>
  </si>
  <si>
    <t>courgettes</t>
  </si>
  <si>
    <t>early turnips</t>
  </si>
  <si>
    <t>lettuce</t>
  </si>
  <si>
    <t>rhubarb stalks</t>
  </si>
  <si>
    <t>"anything else"</t>
  </si>
  <si>
    <t>herb bunches</t>
  </si>
  <si>
    <t>leeks</t>
  </si>
  <si>
    <t>oddly shaped veg</t>
  </si>
  <si>
    <t>perennials: 1 kind</t>
  </si>
  <si>
    <t>perennials: 5 kinds</t>
  </si>
  <si>
    <t>dahlias: 1 variety</t>
  </si>
  <si>
    <t>sweet peas: 1 named variety</t>
  </si>
  <si>
    <t>hybrid tea roses</t>
  </si>
  <si>
    <t>floribunda type roses</t>
  </si>
  <si>
    <t>6 pansies</t>
  </si>
  <si>
    <t>herbaceous flowers (mixed)</t>
  </si>
  <si>
    <t>annuals: 1 kind</t>
  </si>
  <si>
    <t>annuals: 5 kinds</t>
  </si>
  <si>
    <t>Club flowering plant</t>
  </si>
  <si>
    <t>Best cactus/succulent</t>
  </si>
  <si>
    <t>foliage plant: large pot</t>
  </si>
  <si>
    <t>flowering plant: small pot</t>
  </si>
  <si>
    <t>foliage plant: small pot</t>
  </si>
  <si>
    <t>flowering plant: larga pot</t>
  </si>
  <si>
    <t>wholemeal bread (machine)</t>
  </si>
  <si>
    <t>wholemeal bread (hand made)</t>
  </si>
  <si>
    <t>3 American style muffins</t>
  </si>
  <si>
    <t>white bread (hand made)</t>
  </si>
  <si>
    <t>4 pieces of shortbread</t>
  </si>
  <si>
    <t>description</t>
  </si>
  <si>
    <t>name of flower</t>
  </si>
  <si>
    <t>Lynne Munro</t>
  </si>
  <si>
    <t>A1</t>
  </si>
  <si>
    <t>Name</t>
  </si>
  <si>
    <t>Weight (g)</t>
  </si>
  <si>
    <t>A26</t>
  </si>
  <si>
    <t>onions from sets</t>
  </si>
  <si>
    <t>N: YOUNG GARDENERS</t>
  </si>
  <si>
    <t>N4</t>
  </si>
  <si>
    <t>N5</t>
  </si>
  <si>
    <t>Section M: Home produced beverages</t>
  </si>
  <si>
    <t>M1</t>
  </si>
  <si>
    <t>M2</t>
  </si>
  <si>
    <t>M3</t>
  </si>
  <si>
    <t>M4</t>
  </si>
  <si>
    <t>M5</t>
  </si>
  <si>
    <t>Red wine</t>
  </si>
  <si>
    <t>White wine</t>
  </si>
  <si>
    <t>Beer</t>
  </si>
  <si>
    <t>Non-alcoholic</t>
  </si>
  <si>
    <t>Liqueur</t>
  </si>
  <si>
    <t>N6</t>
  </si>
  <si>
    <t>N7</t>
  </si>
  <si>
    <t>Shoebox Garden (Secondary)</t>
  </si>
  <si>
    <t>Scarecrow (Pre-school)</t>
  </si>
  <si>
    <t>Scarecrow (Primary)</t>
  </si>
  <si>
    <t>Exhibitor</t>
  </si>
  <si>
    <t>Magical Muck</t>
  </si>
  <si>
    <t>BA</t>
  </si>
  <si>
    <t>CD</t>
  </si>
  <si>
    <t>ED</t>
  </si>
  <si>
    <t>FR</t>
  </si>
  <si>
    <t>GA</t>
  </si>
  <si>
    <t>LP</t>
  </si>
  <si>
    <t>LM</t>
  </si>
  <si>
    <t>MB</t>
  </si>
  <si>
    <t>Write "X" to delete name</t>
  </si>
  <si>
    <t>Forename</t>
  </si>
  <si>
    <t>Surname</t>
  </si>
  <si>
    <t>Write "X" if NOT eligible for GGT</t>
  </si>
  <si>
    <t>Full names</t>
  </si>
  <si>
    <t>AB</t>
  </si>
  <si>
    <t>ST</t>
  </si>
  <si>
    <t>Pot o' Spuds</t>
  </si>
  <si>
    <t>Planted outdoor container</t>
  </si>
  <si>
    <t>P: JUST FOR FUN</t>
  </si>
  <si>
    <t>SECTIONS N, P &amp; Q</t>
  </si>
  <si>
    <t>J</t>
  </si>
  <si>
    <t>LD</t>
  </si>
  <si>
    <t>CG</t>
  </si>
  <si>
    <t>JS</t>
  </si>
  <si>
    <t>LN</t>
  </si>
  <si>
    <t>Carole Gutteridge</t>
  </si>
  <si>
    <t>Lillias Noble</t>
  </si>
  <si>
    <t>SF</t>
  </si>
  <si>
    <t>broccoli</t>
  </si>
  <si>
    <t xml:space="preserve"> mange tout/sugar-snap peas</t>
  </si>
  <si>
    <t>VEGETABLES</t>
  </si>
  <si>
    <t>CUT FLOWERS</t>
  </si>
  <si>
    <t>CACTI &amp; SUCCULENTS</t>
  </si>
  <si>
    <t>POT PLANTS</t>
  </si>
  <si>
    <t>Iain MacDonald Trophy for best container (G).</t>
  </si>
  <si>
    <t>Jeanette MacDonald Shield for most points in preserves &amp; sweets (K).</t>
  </si>
  <si>
    <t>FLORAL ART</t>
  </si>
  <si>
    <t>FUCHSIAS</t>
  </si>
  <si>
    <t>OUTDOOR CONTAINERS</t>
  </si>
  <si>
    <t>PRESERVES &amp; SWEETS</t>
  </si>
  <si>
    <t>BAKING</t>
  </si>
  <si>
    <t>HOME PRODUCED BEVERAGES</t>
  </si>
  <si>
    <t>YOUNG GARDENERS</t>
  </si>
  <si>
    <t>JUST FOR FUN</t>
  </si>
  <si>
    <t>CRAFTS</t>
  </si>
  <si>
    <t>Exhibitors'  Class Points</t>
  </si>
  <si>
    <t>Section A1: Green Gardeners</t>
  </si>
  <si>
    <t>Section C: Cacti &amp; Succulents</t>
  </si>
  <si>
    <t>Section D: Pot Plants</t>
  </si>
  <si>
    <t>Section F: Fuchsias</t>
  </si>
  <si>
    <t>Section G: Outdoor Containers</t>
  </si>
  <si>
    <t>Section K: Jams &amp; Preserves</t>
  </si>
  <si>
    <t>Section N: Young Gardeners</t>
  </si>
  <si>
    <t>Section P: Just for Fun</t>
  </si>
  <si>
    <t>Section Q: Crafts</t>
  </si>
  <si>
    <t>Section E: Floral Art</t>
  </si>
  <si>
    <t>Section M: Home Produced Beverages</t>
  </si>
  <si>
    <t>Operating Data</t>
  </si>
  <si>
    <t>TROPHY AWARDS</t>
  </si>
  <si>
    <t>Evelyn Littlejohn Trophy for best vegetable in show.</t>
  </si>
  <si>
    <t>Green Gardener Trophy for most points in vegetable section (A) by someone who has never before won a vegetable trophy.</t>
  </si>
  <si>
    <t>Badenoch Gardening Club Trophy for best cut flower in show (B).</t>
  </si>
  <si>
    <t>Buchanan Trophy for most points in cut flower section (B).</t>
  </si>
  <si>
    <t>Enid Furness Trophy for best named sweet pea (B7).</t>
  </si>
  <si>
    <t>Barclay Trophy for best rose (classes B9, B10, B11, B12).</t>
  </si>
  <si>
    <t>Sutherland Cup for best floral art (E).</t>
  </si>
  <si>
    <t>SECTIONS "C", "D" and "E"</t>
  </si>
  <si>
    <t>Best Fuchsia</t>
  </si>
  <si>
    <t>SECTION</t>
  </si>
  <si>
    <t>Sheet name</t>
  </si>
  <si>
    <t>Prize Block 1</t>
  </si>
  <si>
    <t>Prize Block 2</t>
  </si>
  <si>
    <t>Prize Block 3</t>
  </si>
  <si>
    <t>Awards Block</t>
  </si>
  <si>
    <t>A-Veges</t>
  </si>
  <si>
    <t>C+D+E</t>
  </si>
  <si>
    <t>B-Flowers</t>
  </si>
  <si>
    <t>L-Baking</t>
  </si>
  <si>
    <t>F+G</t>
  </si>
  <si>
    <t>K-Jam</t>
  </si>
  <si>
    <t>M-Drinks</t>
  </si>
  <si>
    <t>N+P+Q</t>
  </si>
  <si>
    <t>Club potato weights</t>
  </si>
  <si>
    <t>Spud weights</t>
  </si>
  <si>
    <t>Club Potato weight</t>
  </si>
  <si>
    <t>Grand totals (not scanned)</t>
  </si>
  <si>
    <t>Section A1: Green Gardeners
(not scanned)</t>
  </si>
  <si>
    <t>Point Score Column</t>
  </si>
  <si>
    <t>Best Vegetable</t>
  </si>
  <si>
    <t>Best Cut Flower</t>
  </si>
  <si>
    <t>Best in Show Awards</t>
  </si>
  <si>
    <t>row start</t>
  </si>
  <si>
    <t>row end</t>
  </si>
  <si>
    <t>col end</t>
  </si>
  <si>
    <t>Name match string</t>
  </si>
  <si>
    <t>Weight
(lb/oz)</t>
  </si>
  <si>
    <t>Stuart Sim Cup for most points in vegetable section (A)</t>
  </si>
  <si>
    <t>Badenoch Gardening Club Trophy for best cactus or succulent (C)</t>
  </si>
  <si>
    <t>Jean Burnard Trophy for best foliage pot plant (D1, D2).</t>
  </si>
  <si>
    <t>Hutchison Bros Trophy for best flowering pot plant (D3, D4, D5).</t>
  </si>
  <si>
    <t>Betty Murray Trophy for best Club plant (D6)</t>
  </si>
  <si>
    <t>Archie Peebles Trophy for best fuchsia (F).</t>
  </si>
  <si>
    <t>This work-sheet defines which blocks of cells should be scanned to obtain entrants' results awarded by the judges</t>
  </si>
  <si>
    <t xml:space="preserve">Best Baking </t>
  </si>
  <si>
    <t>YOUNG GARDENERS' AWARDS</t>
  </si>
  <si>
    <t>Rosettes for prize winners in each
 Section N class</t>
  </si>
  <si>
    <t>Row offset table</t>
  </si>
  <si>
    <t>Section ID</t>
  </si>
  <si>
    <t>offset</t>
  </si>
  <si>
    <t>Section</t>
  </si>
  <si>
    <t>A</t>
  </si>
  <si>
    <t>B</t>
  </si>
  <si>
    <t>C</t>
  </si>
  <si>
    <t>D</t>
  </si>
  <si>
    <t>E</t>
  </si>
  <si>
    <t>F</t>
  </si>
  <si>
    <t>G</t>
  </si>
  <si>
    <t>M</t>
  </si>
  <si>
    <t>N</t>
  </si>
  <si>
    <t>P</t>
  </si>
  <si>
    <t>Q</t>
  </si>
  <si>
    <t>D6</t>
  </si>
  <si>
    <t>Orchid</t>
  </si>
  <si>
    <t>"Fire and Ice"</t>
  </si>
  <si>
    <t>jar of any other preserve</t>
  </si>
  <si>
    <t>Monster (up to P4)</t>
  </si>
  <si>
    <t>Monster (P5 to P7)</t>
  </si>
  <si>
    <t>Kathleen McGill</t>
  </si>
  <si>
    <t>Jean Slimon</t>
  </si>
  <si>
    <t>lemon drizzle cake</t>
  </si>
  <si>
    <t>A(gg)</t>
  </si>
  <si>
    <t>Section A</t>
  </si>
  <si>
    <t>Section B</t>
  </si>
  <si>
    <t>Section C</t>
  </si>
  <si>
    <t>Section D</t>
  </si>
  <si>
    <t>Section E</t>
  </si>
  <si>
    <t>Section F</t>
  </si>
  <si>
    <t>Section G</t>
  </si>
  <si>
    <t>Section K</t>
  </si>
  <si>
    <t>Section L</t>
  </si>
  <si>
    <t>Section M</t>
  </si>
  <si>
    <t>Section N</t>
  </si>
  <si>
    <t>Section P</t>
  </si>
  <si>
    <t>Section Q</t>
  </si>
  <si>
    <t>"A Highland Arrangement"</t>
  </si>
  <si>
    <t/>
  </si>
  <si>
    <t xml:space="preserve">Pressed-Flower Card </t>
  </si>
  <si>
    <t>Textile Vegetable</t>
  </si>
  <si>
    <t>Photo of one or more Trees</t>
  </si>
  <si>
    <t>no. entries</t>
  </si>
  <si>
    <t xml:space="preserve"> 1st: Lillias Noble; </t>
  </si>
  <si>
    <t xml:space="preserve"> 2nd: Pat Morris; </t>
  </si>
  <si>
    <t xml:space="preserve"> 3rd: Lynne Munro; </t>
  </si>
  <si>
    <t xml:space="preserve"> 1st: Pat Morris; </t>
  </si>
  <si>
    <t xml:space="preserve"> 2nd: Eric Dodd; </t>
  </si>
  <si>
    <t xml:space="preserve"> 3rd: Lillias Noble; </t>
  </si>
  <si>
    <t xml:space="preserve"> 1st: Beth Alder; </t>
  </si>
  <si>
    <t xml:space="preserve"> 2nd: Lynne Munro; </t>
  </si>
  <si>
    <t xml:space="preserve"> 3rd: Sue Thomas; </t>
  </si>
  <si>
    <t xml:space="preserve"> 2nd: Sue Thomas; </t>
  </si>
  <si>
    <t xml:space="preserve"> 1st: Viv Haylock; </t>
  </si>
  <si>
    <t xml:space="preserve"> 3rd: Beth Alder; </t>
  </si>
  <si>
    <t xml:space="preserve"> 1st: Lynne Munro; </t>
  </si>
  <si>
    <t xml:space="preserve"> 2nd: Beth Alder; </t>
  </si>
  <si>
    <t xml:space="preserve"> 1st: Adeline Balharry; </t>
  </si>
  <si>
    <t xml:space="preserve"> 2nd: Adeline Balharry; </t>
  </si>
  <si>
    <t xml:space="preserve"> 1st: Fran Raw; </t>
  </si>
  <si>
    <t xml:space="preserve"> 2nd: Lillias Noble; </t>
  </si>
  <si>
    <t xml:space="preserve"> 1st: George Alder; </t>
  </si>
  <si>
    <t xml:space="preserve"> 3rd: Caroline McCarthy; </t>
  </si>
  <si>
    <t xml:space="preserve"> 1st: Carole Gutteridge; </t>
  </si>
  <si>
    <t xml:space="preserve"> 3rd: Pat Morris; </t>
  </si>
  <si>
    <t xml:space="preserve"> 1st: St VincentsThGdn; </t>
  </si>
  <si>
    <t xml:space="preserve"> 2nd: Jean Slimon; </t>
  </si>
  <si>
    <t xml:space="preserve"> 3rd: St VincentsThGdn; </t>
  </si>
  <si>
    <t xml:space="preserve"> 1st: Lynda Dodd; </t>
  </si>
  <si>
    <t xml:space="preserve"> 2nd: Lynda Dodd; </t>
  </si>
  <si>
    <t xml:space="preserve"> 3rd: Viv Haylock; </t>
  </si>
  <si>
    <t xml:space="preserve"> 2nd: Marielle Barclay; </t>
  </si>
  <si>
    <t xml:space="preserve"> 2nd: St VincentsThGdn; </t>
  </si>
  <si>
    <t xml:space="preserve"> 3rd: George Alder; </t>
  </si>
  <si>
    <t xml:space="preserve"> 3rd: Laura Pierce; </t>
  </si>
  <si>
    <t xml:space="preserve"> 1st: Sue Thomas; </t>
  </si>
  <si>
    <t xml:space="preserve"> 1st: Laura Pierce; </t>
  </si>
  <si>
    <t xml:space="preserve"> 2nd: Viv Haylock; </t>
  </si>
  <si>
    <t xml:space="preserve"> 1st: Marielle Barclay; </t>
  </si>
  <si>
    <t xml:space="preserve"> 1st: Yolande Robertson; </t>
  </si>
  <si>
    <t xml:space="preserve"> 3rd: Shelagh Stirling; </t>
  </si>
  <si>
    <t xml:space="preserve"> 3rd: Yolande Robertson; </t>
  </si>
  <si>
    <t xml:space="preserve"> 1st: Sheila Friend; </t>
  </si>
  <si>
    <t xml:space="preserve"> 2nd: George Alder; </t>
  </si>
  <si>
    <t xml:space="preserve"> 2nd: Sheila Friend; </t>
  </si>
  <si>
    <t xml:space="preserve"> 3rd: Marielle Barclay; </t>
  </si>
  <si>
    <t xml:space="preserve"> 3rd: Adeline Balharry; </t>
  </si>
  <si>
    <t xml:space="preserve"> 3rd: Sheila Friend; </t>
  </si>
  <si>
    <t xml:space="preserve"> 1st: Caroline McCarthy; </t>
  </si>
  <si>
    <t xml:space="preserve"> 1st: Mark Birkbeck; </t>
  </si>
  <si>
    <t xml:space="preserve"> 3rd: Fran Raw; </t>
  </si>
  <si>
    <t xml:space="preserve"> 2nd: Laura Pierce; </t>
  </si>
  <si>
    <t xml:space="preserve"> 2nd: Shelagh Stirling; </t>
  </si>
  <si>
    <t xml:space="preserve"> 1st: Jean Slimon; </t>
  </si>
  <si>
    <t xml:space="preserve"> 3rd: Catherine Downie; </t>
  </si>
  <si>
    <t xml:space="preserve"> 1st: Shelagh Stirling; </t>
  </si>
  <si>
    <t xml:space="preserve"> 1st: Catherine Downie; </t>
  </si>
  <si>
    <t xml:space="preserve"> 2nd: Caroline McCarthy; </t>
  </si>
  <si>
    <t xml:space="preserve"> 3rd: Lynda Dodd; </t>
  </si>
  <si>
    <t xml:space="preserve"> 3rd: Jean Slimon; </t>
  </si>
  <si>
    <t xml:space="preserve"> 1st: Kathleen McGill; </t>
  </si>
  <si>
    <t xml:space="preserve"> 3rd: Eric Dodd; </t>
  </si>
  <si>
    <t xml:space="preserve"> 1st: Bonny Robertson; </t>
  </si>
  <si>
    <t xml:space="preserve"> 2nd: Brooklyn Robertson; </t>
  </si>
  <si>
    <t xml:space="preserve"> 1st: Kingussie Primary26; </t>
  </si>
  <si>
    <t xml:space="preserve"> 2nd: Kingussie Primary234; </t>
  </si>
  <si>
    <t xml:space="preserve"> 3rd: Gergask Primary; </t>
  </si>
  <si>
    <t xml:space="preserve"> 2nd: Fran Raw; </t>
  </si>
  <si>
    <t xml:space="preserve"> 3rd: Robert Friend; </t>
  </si>
  <si>
    <t xml:space="preserve"> 3rd: Carole Gutteridge; </t>
  </si>
  <si>
    <t xml:space="preserve">Entries per Class  </t>
  </si>
  <si>
    <t>not counted</t>
  </si>
  <si>
    <t>show mentions</t>
  </si>
  <si>
    <t>"anything else" (fruit)</t>
  </si>
  <si>
    <t>"anything else" (vegetable)</t>
  </si>
  <si>
    <t>"Sugar and Spice"</t>
  </si>
  <si>
    <t>"Summer Holiday"</t>
  </si>
  <si>
    <t>SECTIONS "F" &amp; "G" + CLASSES "N1" &amp; "P2"</t>
  </si>
  <si>
    <t>gluten-free cake</t>
  </si>
  <si>
    <t>A Paper Flower</t>
  </si>
  <si>
    <t>N8</t>
  </si>
  <si>
    <t>Class N5/P1</t>
  </si>
  <si>
    <t>Pot o' Spuds  weights</t>
  </si>
  <si>
    <t xml:space="preserve">AB  Adeline Balharry
BM  Barbara Marshall
BA  Beth Alder
BR  Bonny Robertson
BR1  Brooklyn Robertson
CG  Carole Gutteridge
CM  Caroline McCarthy
CD  Catherine Downie
DM  Dave Marshall
ED  Eric Dodd
FR  Fran Raw
GA  George Alder
GP  Gergask Primary
JB  Jacquie Barbour
JS  Jean Slimon
KM  Kathleen McGill
KP1  Kingussie Primary26
KP  Kingussie Primary234
LP  Laura Pierce
LN  Lillias Noble
LD  Lynda Dodd
LM  Lynne Munro
MB1  Marielle Barclay
MB  Mark Birkbeck
NP  Newtonmore Primary
PM  Pat Morris
RF  Robert Friend
SF  Sheila Friend
SS  Shelagh Stirling
SV  St VincentsThGdn
ST  Sue Thomas
VH  Viv Haylock
YR  Yolande Robertson
</t>
  </si>
  <si>
    <t>These are the row offsets for each section in the list of class prizewinners in the worksheet "Classes"</t>
  </si>
  <si>
    <t>K</t>
  </si>
  <si>
    <t>L</t>
  </si>
  <si>
    <t xml:space="preserve">Best Floral Art </t>
  </si>
  <si>
    <t>Best Preserve/Sweet</t>
  </si>
  <si>
    <t>Best Beverage</t>
  </si>
  <si>
    <t>Best Container</t>
  </si>
  <si>
    <t>"Potato Person"
 (up to P4)</t>
  </si>
  <si>
    <t>"Potato Person" 
(P5 to P7)</t>
  </si>
  <si>
    <t>Textile vegetable</t>
  </si>
  <si>
    <t>Floating arrangement</t>
  </si>
  <si>
    <t>Section F: Fuchsia</t>
  </si>
  <si>
    <t>Best rose (B9-B12)</t>
  </si>
  <si>
    <t>Best sweetpea (B7)</t>
  </si>
  <si>
    <t>Best foliage pot plant (D1, D2)</t>
  </si>
  <si>
    <t>Club plant</t>
  </si>
  <si>
    <t xml:space="preserve"> 2nd: George Alder</t>
  </si>
  <si>
    <t xml:space="preserve"> 1st: Lynda Dodd</t>
  </si>
  <si>
    <t xml:space="preserve"> 2nd: Lynda Dodd</t>
  </si>
  <si>
    <t xml:space="preserve"> 2nd: Marielle Barclay</t>
  </si>
  <si>
    <t xml:space="preserve"> 1st: George Alder</t>
  </si>
  <si>
    <t xml:space="preserve"> 2nd: Sue Thomas</t>
  </si>
  <si>
    <t xml:space="preserve"> 3rd: Laura Pierce</t>
  </si>
  <si>
    <t xml:space="preserve"> 1st: Sue Thomas</t>
  </si>
  <si>
    <t xml:space="preserve"> 2nd: Beth Alder</t>
  </si>
  <si>
    <t xml:space="preserve"> 3rd: Beth Alder</t>
  </si>
  <si>
    <t xml:space="preserve"> 1st: Laura Pierce</t>
  </si>
  <si>
    <t xml:space="preserve"> 1st: Marielle Barclay</t>
  </si>
  <si>
    <t xml:space="preserve"> 3rd: Lynne Munro</t>
  </si>
  <si>
    <t xml:space="preserve"> 2nd: Eric Dodd</t>
  </si>
  <si>
    <t xml:space="preserve"> 1st: Beth Alder</t>
  </si>
  <si>
    <t xml:space="preserve"> 2nd: Lynne Munro</t>
  </si>
  <si>
    <t xml:space="preserve"> 3rd: Sue Thomas</t>
  </si>
  <si>
    <t xml:space="preserve"> 1st: Lynne Munro</t>
  </si>
  <si>
    <t xml:space="preserve"> 1st: Adeline Balharry</t>
  </si>
  <si>
    <t xml:space="preserve"> 2nd: Adeline Balharry</t>
  </si>
  <si>
    <t xml:space="preserve"> 1st: Carole Gutteridge</t>
  </si>
  <si>
    <t xml:space="preserve"> 1st: Yolande Robertson</t>
  </si>
  <si>
    <t xml:space="preserve"> 3rd: Yolande Robertson</t>
  </si>
  <si>
    <t xml:space="preserve"> 1st: Sheila Friend</t>
  </si>
  <si>
    <t xml:space="preserve"> 3rd: Marielle Barclay</t>
  </si>
  <si>
    <t xml:space="preserve"> 3rd: Adeline Balharry</t>
  </si>
  <si>
    <t xml:space="preserve"> 3rd: Sheila Friend</t>
  </si>
  <si>
    <t xml:space="preserve"> 3rd: Fran Raw</t>
  </si>
  <si>
    <t xml:space="preserve"> 2nd: Laura Pierce</t>
  </si>
  <si>
    <t xml:space="preserve"> 1st: Jean Slimon</t>
  </si>
  <si>
    <t xml:space="preserve"> 3rd: Catherine Downie</t>
  </si>
  <si>
    <t xml:space="preserve"> 1st: Catherine Downie</t>
  </si>
  <si>
    <t xml:space="preserve"> 3rd: Lynda Dodd</t>
  </si>
  <si>
    <t xml:space="preserve"> 3rd: Jean Slimon</t>
  </si>
  <si>
    <t xml:space="preserve"> 1st: Kathleen McGill</t>
  </si>
  <si>
    <t xml:space="preserve"> 3rd: Eric Dodd</t>
  </si>
  <si>
    <t xml:space="preserve"> 2nd: Brooklyn Robertson</t>
  </si>
  <si>
    <t xml:space="preserve"> 2nd: Fran Raw</t>
  </si>
  <si>
    <t>Best Club plant</t>
  </si>
  <si>
    <t>Total for Show 2017
(All classes)</t>
  </si>
  <si>
    <t>AJ</t>
  </si>
  <si>
    <t>Alison Johnston</t>
  </si>
  <si>
    <t>AP</t>
  </si>
  <si>
    <t>FM</t>
  </si>
  <si>
    <t>Fiona McGill</t>
  </si>
  <si>
    <t>KN</t>
  </si>
  <si>
    <t>Kirsty Neilson</t>
  </si>
  <si>
    <t>Rebecca Hayne</t>
  </si>
  <si>
    <t>RG</t>
  </si>
  <si>
    <t>Ron Gutteridge</t>
  </si>
  <si>
    <t>RM</t>
  </si>
  <si>
    <t>Rory McGill</t>
  </si>
  <si>
    <t xml:space="preserve"> 2nd: Jo Cumming</t>
  </si>
  <si>
    <t xml:space="preserve"> 2nd: Kathleen McGill</t>
  </si>
  <si>
    <t xml:space="preserve"> 3rd: Jo Cumming</t>
  </si>
  <si>
    <t xml:space="preserve"> 1st: Jo Cumming</t>
  </si>
  <si>
    <t xml:space="preserve"> 2nd: Ron Gutteridge</t>
  </si>
  <si>
    <t xml:space="preserve"> 1st: Ron Gutteridge</t>
  </si>
  <si>
    <t xml:space="preserve"> 3rd: Ron Gutteridge</t>
  </si>
  <si>
    <t xml:space="preserve"> 1st: Eric Dodd</t>
  </si>
  <si>
    <t xml:space="preserve"> 3rd: BadenochStrathspey TherapyGardens</t>
  </si>
  <si>
    <t xml:space="preserve"> 1st: BadenochStrathspey TherapyGardens</t>
  </si>
  <si>
    <t xml:space="preserve"> 2nd: Carole Gutteridge</t>
  </si>
  <si>
    <t xml:space="preserve"> 1st: Rory McGill</t>
  </si>
  <si>
    <t xml:space="preserve"> 2nd: Fiona McGill</t>
  </si>
  <si>
    <t xml:space="preserve"> 3rd: Elizabeth Lyon</t>
  </si>
  <si>
    <t xml:space="preserve"> 1st: Milly Cooper</t>
  </si>
  <si>
    <t xml:space="preserve"> 3rd: Rory McGill</t>
  </si>
  <si>
    <t xml:space="preserve"> 3rd: Geoff Simpson</t>
  </si>
  <si>
    <t xml:space="preserve"> 1st: Yolandee Robertson</t>
  </si>
  <si>
    <t xml:space="preserve"> 2nd: Kirsty Neilson</t>
  </si>
  <si>
    <t xml:space="preserve"> 2nd: Catherine Downie</t>
  </si>
  <si>
    <t xml:space="preserve"> 1st: Eathan Munro</t>
  </si>
  <si>
    <t>David Marshall</t>
  </si>
  <si>
    <t xml:space="preserve"> 1st: Brooklyn Robertson</t>
  </si>
  <si>
    <t xml:space="preserve"> 2nd: Kathryn Main</t>
  </si>
  <si>
    <t xml:space="preserve"> 2nd: David Marshall</t>
  </si>
  <si>
    <t xml:space="preserve"> 1st: Helen Gray</t>
  </si>
  <si>
    <t xml:space="preserve"> 2nd: Alison Johnston</t>
  </si>
  <si>
    <t xml:space="preserve"> 2nd: BadenochStrathspey TherapyGardens</t>
  </si>
  <si>
    <t>Pressed flower card</t>
  </si>
  <si>
    <t xml:space="preserve">Photograph "Colour in the Garden" </t>
  </si>
  <si>
    <t xml:space="preserve"> 2nd: Yolande Robertson</t>
  </si>
  <si>
    <t xml:space="preserve"> 2nd: Zia Pounder</t>
  </si>
  <si>
    <t xml:space="preserve"> 3rd: Carole Gutteridge</t>
  </si>
  <si>
    <t>Most Points in Section</t>
  </si>
  <si>
    <t xml:space="preserve"> 1st: Lillias Denyse</t>
  </si>
  <si>
    <t xml:space="preserve"> 3rd: Lillias Denyse</t>
  </si>
  <si>
    <t xml:space="preserve"> 2nd: Lillias Denyse</t>
  </si>
  <si>
    <t>Orchid;  1st: Laura Pierce;  2nd: Kathryn Main</t>
  </si>
  <si>
    <t>Non-alcoholic;  1st: Lynne Munro;  2nd: Lynne Munro</t>
  </si>
  <si>
    <t>Liqueur;  1st: Beth Alder;  2nd: Lynne Munro;  3rd: Catherine Downie</t>
  </si>
  <si>
    <t>A Paper Flower;  1st: Milly Cooper;  2nd: Fiona McGill;  3rd: Rory McGill</t>
  </si>
  <si>
    <t>Magical Muck;  1st: Carole Gutteridge;  2nd: George Alder;  3rd: Jo Cumming</t>
  </si>
  <si>
    <t>Cabbage;  1st: Lynne Munro;  2nd: Lynne Munro</t>
  </si>
  <si>
    <t>Cucumber;  1st: Sue Thomas;  2nd: Lillias Denyse;  3rd: Beth Alder</t>
  </si>
  <si>
    <t>Courgettes;  1st: George Alder;  2nd: Sue Thomas;  3rd: Lillias Denyse</t>
  </si>
  <si>
    <t>Lettuce;  1st: Beth Alder</t>
  </si>
  <si>
    <t xml:space="preserve"> Potatoes - White;  1st: Lillias Denyse;  2nd: Jo Cumming;  3rd: Eric Dodd</t>
  </si>
  <si>
    <t xml:space="preserve"> Potatoes - Coloured;  1st: Beth Alder;  2nd: Eric Dodd;  3rd: Lillias Denyse</t>
  </si>
  <si>
    <t xml:space="preserve"> Pods Of Peas;  1st: Lynne Munro;  2nd: Beth Alder</t>
  </si>
  <si>
    <t xml:space="preserve"> Mange Tout/sugar-snap Peas;  1st: Beth Alder</t>
  </si>
  <si>
    <t xml:space="preserve"> Broad Beans;  1st: Beth Alder;  2nd: Jo Cumming</t>
  </si>
  <si>
    <t xml:space="preserve"> Runner Beans;  1st: Beth Alder;  2nd: Lynne Munro;  3rd: Lynne Munro</t>
  </si>
  <si>
    <t xml:space="preserve"> French Beans;  1st: Beth Alder;  2nd: Sue Thomas;  3rd: Lillias Denyse</t>
  </si>
  <si>
    <t>Onions From Sets;  1st: Kathleen McGill;  2nd: Kathleen McGill;  3rd: Jo Cumming</t>
  </si>
  <si>
    <t>Carrots -pointed;  1st: Lynne Munro;  2nd: Beth Alder;  3rd: Lillias Denyse</t>
  </si>
  <si>
    <t>Carrots - Stump/ball;  1st: Jo Cumming;  2nd: Beth Alder</t>
  </si>
  <si>
    <t>Cherry Tomatoes;  1st: Helen Gray;  2nd: Lynne Munro;  3rd: Fran Raw</t>
  </si>
  <si>
    <t>Early Turnips;  1st: Lynne Munro;  2nd: Beth Alder;  3rd: Beth Alder</t>
  </si>
  <si>
    <t>Rhubarb Stalks;  1st: Kathleen McGill;  2nd: Lillias Denyse;  3rd: Beth Alder</t>
  </si>
  <si>
    <t>"anything Else" (vegetable);  1st: Beth Alder;  2nd: Beth Alder;  3rd: Lynne Munro</t>
  </si>
  <si>
    <t>"anything Else" (fruit);  1st: Beth Alder;  2nd: Lillias Denyse;  3rd: Beth Alder</t>
  </si>
  <si>
    <t>Herb Bunches;  1st: Beth Alder;  2nd: Sue Thomas;  3rd: Lynda Dodd</t>
  </si>
  <si>
    <t>Oddly Shaped Veg;  1st: Lynne Munro;  2nd: Beth Alder;  3rd: Beth Alder</t>
  </si>
  <si>
    <t>Annuals: 1 Kind;  1st: Sue Thomas;  2nd: Marielle Barclay;  3rd: BadenochStrathspey TherapyGardens</t>
  </si>
  <si>
    <t>Annuals: 5 Kinds;  1st: BadenochStrathspey TherapyGardens;  2nd: Marielle Barclay;  3rd: Beth Alder</t>
  </si>
  <si>
    <t>Perennials: 1 Kind;  1st: Lynda Dodd;  2nd: Carole Gutteridge;  3rd: Lynda Dodd</t>
  </si>
  <si>
    <t>Perennials: 5 Kinds;  1st: Lynda Dodd;  2nd: Marielle Barclay;  3rd: Beth Alder</t>
  </si>
  <si>
    <t>Dahlias: 1 Variety;  1st: Adeline Balharry;  2nd: Beth Alder</t>
  </si>
  <si>
    <t>Hybrid Tea Roses;  1st: Marielle Barclay</t>
  </si>
  <si>
    <t>Floribunda Type Roses;  1st: Lynne Munro;  2nd: Beth Alder</t>
  </si>
  <si>
    <t>1 Rose;  1st: Beth Alder</t>
  </si>
  <si>
    <t>6 Pansies;  1st: Lynda Dodd</t>
  </si>
  <si>
    <t>Herbaceous Flowers (mixed);  1st: Carole Gutteridge;  2nd: Carole Gutteridge;  3rd: Lillias Denyse</t>
  </si>
  <si>
    <t>Single Cactus;  1st: Sheila Friend;  2nd: George Alder</t>
  </si>
  <si>
    <t>Cactus/succulent Collection;  1st: Yolande Robertson</t>
  </si>
  <si>
    <t>Single Succulent;  1st: Sue Thomas;  2nd: Lynne Munro;  3rd: Sheila Friend</t>
  </si>
  <si>
    <t>Foliage Plant: Small Pot;  1st: Sue Thomas;  2nd: Fran Raw;  3rd: Lynne Munro</t>
  </si>
  <si>
    <t>Foliage Plant: Large Pot;  1st: Lynne Munro;  2nd: Beth Alder;  3rd: Sheila Friend</t>
  </si>
  <si>
    <t>Flowering Plant: Small Pot;  1st: Carole Gutteridge;  2nd: Laura Pierce;  3rd: Laura Pierce</t>
  </si>
  <si>
    <t>Flowering Plant: Larga Pot;  1st: Sheila Friend;  2nd: Laura Pierce;  3rd: Laura Pierce</t>
  </si>
  <si>
    <t>Club Flowering Plant;  1st: Beth Alder;  2nd: David Marshall;  3rd: Carole Gutteridge</t>
  </si>
  <si>
    <t>"sugar And Spice";  1st: Yolandee Robertson;  2nd: Adeline Balharry;  3rd: Yolande Robertson</t>
  </si>
  <si>
    <t>Floating Arrangement;  1st: Sheila Friend;  2nd: Adeline Balharry;  3rd: Yolande Robertson</t>
  </si>
  <si>
    <t>"summer Holiday";  1st: Yolande Robertson;  2nd: Yolande Robertson;  3rd: Adeline Balharry</t>
  </si>
  <si>
    <t>Fuchsia;  1st: Lynne Munro;  2nd: Adeline Balharry;  3rd: Lynne Munro</t>
  </si>
  <si>
    <t>Hanging Basket/pouch;  1st: Carole Gutteridge;  2nd: Lynne Munro;  3rd: Sheila Friend</t>
  </si>
  <si>
    <t>Planted Outdoor Container;  1st: Sheila Friend;  2nd: Lynne Munro;  3rd: Sheila Friend</t>
  </si>
  <si>
    <t>Jar Of Pickle, Chutney Or Relish;  1st: Lynne Munro;  2nd: Kirsty Neilson;  3rd: Adeline Balharry</t>
  </si>
  <si>
    <t>Jar Of Apricot Jam;  1st: Marielle Barclay;  2nd: Lynne Munro</t>
  </si>
  <si>
    <t>Jar Of Strawberry Jam;  1st: Lynne Munro;  2nd: Lynda Dodd;  3rd: Sue Thomas</t>
  </si>
  <si>
    <t>Jar Of Raspberry Jam;  1st: Adeline Balharry;  2nd: Laura Pierce;  3rd: Lynne Munro</t>
  </si>
  <si>
    <t>Jar Of Blackcurrant Jam;  1st: Laura Pierce;  2nd: Sue Thomas;  3rd: Fran Raw</t>
  </si>
  <si>
    <t>Jar Of Redcurrant Jelly;  1st: Jean Slimon;  2nd: Catherine Downie</t>
  </si>
  <si>
    <t>Jar Of Marmalade;  1st: Sue Thomas;  2nd: Catherine Downie;  3rd: Laura Pierce</t>
  </si>
  <si>
    <t>Jar Of Lemon Curd;  1st: Marielle Barclay;  2nd: Lynne Munro;  3rd: Adeline Balharry</t>
  </si>
  <si>
    <t>Jar Of Any Other Jam/jelly;  1st: Marielle Barclay;  2nd: Lillias-Denyse;  3rd: Lynda Dodd</t>
  </si>
  <si>
    <t>6 Squares Of Tablet;  1st: Catherine Downie;  2nd: Adeline Balharry;  3rd: Eric Dodd</t>
  </si>
  <si>
    <t>4 Chocolate Truffles;  1st: Sue Thomas</t>
  </si>
  <si>
    <t>4 Pancakes;  1st: Lynda Dodd;  2nd: Lynne Munro;  3rd: Laura Pierce</t>
  </si>
  <si>
    <t>Gingerbread;  1st: Marielle Barclay;  2nd: Ron Gutteridge;  3rd: Sue Thomas</t>
  </si>
  <si>
    <t>Iced Carrot Cake;  1st: Jean Slimon;  2nd: Sue Thomas;  3rd: Lynda Dodd</t>
  </si>
  <si>
    <t>4 Pieces Of Brownies;  1st: Lynne Munro;  2nd: Ron Gutteridge;  3rd: Lynda Dodd</t>
  </si>
  <si>
    <t>4 Plain Oven Scones;  1st: Ron Gutteridge;  2nd: Lynda Dodd;  3rd: Jean Slimon</t>
  </si>
  <si>
    <t>4 Pieces Of Shortbread;  1st: Lynne Munro;  2nd: Marielle Barclay;  3rd: Adeline Balharry</t>
  </si>
  <si>
    <t>4 Decorated Cup Cakes;  1st: Ron Gutteridge;  2nd: Lynda Dodd;  3rd: Jean Slimon</t>
  </si>
  <si>
    <t>4 Meringues (no Filling);  1st: Lynda Dodd;  2nd: Sue Thomas;  3rd: Ron Gutteridge</t>
  </si>
  <si>
    <t>Fruit Loaf;  1st: Sue Thomas;  2nd: Marielle Barclay;  3rd: Jean Slimon</t>
  </si>
  <si>
    <t>White Bread (hand Made);  1st: Eric Dodd;  2nd: Sue Thomas;  3rd: Marielle Barclay</t>
  </si>
  <si>
    <t>Wholemeal Bread (hand Made);  1st: Marielle Barclay;  2nd: Alison Johnston;  3rd: Eric Dodd</t>
  </si>
  <si>
    <t>Loaf Of White Bread (machine);  1st: Ron Gutteridge;  2nd: Sue Thomas</t>
  </si>
  <si>
    <t>Wholemeal Bread (machine);  1st: Sue Thomas;  2nd: Ron Gutteridge</t>
  </si>
  <si>
    <t>3 American Style Muffins;  1st: Lynda Dodd;  2nd: Ron Gutteridge;  3rd: Jean Slimon</t>
  </si>
  <si>
    <t>Red Wine;  1st: Catherine Downie</t>
  </si>
  <si>
    <t>White Wine;  1st: Lynne Munro;  2nd: Carole Gutteridge;  3rd: Catherine Downie</t>
  </si>
  <si>
    <t>Planted Outdoor Container;  1st: Brooklyn Robertson;  2nd: Zia Pounder;  3rd: Bonny Robertson</t>
  </si>
  <si>
    <t>Pot O' Spuds;  1st: Eathan Munro</t>
  </si>
  <si>
    <t>Pot O' Spuds;  1st: Carole Gutteridge;  2nd: Ron Gutteridge;  3rd: Beth Alder</t>
  </si>
  <si>
    <t>Textile Vegetable;  1st: Sue Thomas</t>
  </si>
  <si>
    <t>Pressed Flower Card;  1st: Yolande Robertson;  2nd: BadenochStrathspey TherapyGardens;  3rd: BadenochStrathspey TherapyGardens</t>
  </si>
  <si>
    <t>Photograph "colour In The Garden" ;  1st: Carole Gutteridge;  2nd: Carole Gutteridge;  3rd: Geoff Simpson</t>
  </si>
  <si>
    <t xml:space="preserve"> 1st: Geoff Simpson</t>
  </si>
  <si>
    <t>Beer;  1st: Geoff Simpson</t>
  </si>
  <si>
    <t>dahlias: 3 flower types</t>
  </si>
  <si>
    <t>sweet peas: mixed varieties</t>
  </si>
  <si>
    <t>sweet peas: one variety</t>
  </si>
  <si>
    <t>Dahlias: 3 Flower Types;  1st: Beth Alder</t>
  </si>
  <si>
    <t>Sweet Peas: One Variety;  1st: George Alder;  2nd: George Alder;  3rd: Sue Thomas</t>
  </si>
  <si>
    <t>Sweet Peas: Mixed Varieties;  1st: George Alder;  2nd: Sue Thomas;  3rd: Lillias Denyse</t>
  </si>
  <si>
    <t>Potato Person
 (up to P4)</t>
  </si>
  <si>
    <t>Potato Person
(P5 to P7)</t>
  </si>
  <si>
    <t>Potato Person
 (up To P4);  1st: Rory McGill;  2nd: Fiona McGill;  3rd: Elizabeth Lyon</t>
  </si>
  <si>
    <t>Potato Person
(p5 To P7);  1st: Bonny Robertson;  2nd: Brooklyn Robertson</t>
  </si>
  <si>
    <t xml:space="preserve"> 1st: GaelicNursery Newtonmore</t>
  </si>
  <si>
    <t>2nd: Adeline Balharry (5 points)</t>
  </si>
  <si>
    <t>3rd: Sheila Friend &amp; Yolandee Robertson (3 points)</t>
  </si>
  <si>
    <t>3rd: Carole Gutteridge (3 points)</t>
  </si>
  <si>
    <t>3rd: Adeline Balharry &amp; Catherine Downie (7 points)</t>
  </si>
  <si>
    <t>ROSETTE AWARDS</t>
  </si>
  <si>
    <t>Best Cactus or Succulent</t>
  </si>
  <si>
    <t>Best Floral Art</t>
  </si>
  <si>
    <t>Best Outdoor Container</t>
  </si>
  <si>
    <t>Best in Preserves &amp; Sweets</t>
  </si>
  <si>
    <t>Best Home Produced Beverage</t>
  </si>
  <si>
    <t>Most Points in Vegetables Section</t>
  </si>
  <si>
    <t>Most Points in Cut Flowers Section</t>
  </si>
  <si>
    <t>Most Points in Preserves &amp; Sweets Section</t>
  </si>
  <si>
    <t>Most Points in Baking Section</t>
  </si>
  <si>
    <t>Most Points in Home Produced Beverages Section</t>
  </si>
  <si>
    <t>Rosettes were also awarded to all class prize winners in the Young Gardener, Just for Fun. and Crafts sections</t>
  </si>
  <si>
    <t>Best Club Plant</t>
  </si>
  <si>
    <t>2019 1st Prize</t>
  </si>
  <si>
    <t>2019 2nd Prize</t>
  </si>
  <si>
    <t>2019 3rd Prize</t>
  </si>
  <si>
    <t>Exhibitors' Names         August 2019</t>
  </si>
  <si>
    <t>Total for Show 2019
(All classes)</t>
  </si>
  <si>
    <t>Badenoch Gardening Club Annual Show, Newtonmore Village Hall
17 August 2019</t>
  </si>
  <si>
    <t>Badenoch Gardening Club Annual Show, 
Newtonmore Village Hall
17 August 2019</t>
  </si>
  <si>
    <t>BGC  Show  17 August 2019</t>
  </si>
  <si>
    <t>BGC  Show  17 Aug 2019</t>
  </si>
  <si>
    <t>2017 RESULTS</t>
  </si>
  <si>
    <t>2018 RESULTS</t>
  </si>
  <si>
    <t>3 onions from sets</t>
  </si>
  <si>
    <t>3 carrots -pointed</t>
  </si>
  <si>
    <t>3 carrots - stump/ball</t>
  </si>
  <si>
    <t>1 cabbage</t>
  </si>
  <si>
    <t>5 cherry tomatoes</t>
  </si>
  <si>
    <t>3 tomatoes</t>
  </si>
  <si>
    <t>1 cucumber</t>
  </si>
  <si>
    <t>3 courgettes</t>
  </si>
  <si>
    <t>3 early turnips</t>
  </si>
  <si>
    <t>1 lettuce</t>
  </si>
  <si>
    <t>3 rhubarb stalks</t>
  </si>
  <si>
    <t>"anything else" 
(1-3 same fruit)</t>
  </si>
  <si>
    <t>"anything else" 
(1-3 same veg)</t>
  </si>
  <si>
    <t>dahlias: mixed
3 blooms</t>
  </si>
  <si>
    <t>dahlias: 1 cultivar
1 bloom</t>
  </si>
  <si>
    <t>annual sweet peas: 1 named cultivar 5 stems</t>
  </si>
  <si>
    <t>annual sweet peas: mixed cultivars:  7 stems
7 stems</t>
  </si>
  <si>
    <t>cluster-flowered rose: 1 stem</t>
  </si>
  <si>
    <t>specimen rose: 1 bloom</t>
  </si>
  <si>
    <t>fragrant rose: 1 stem</t>
  </si>
  <si>
    <t>large flowered rose: 1 stem</t>
  </si>
  <si>
    <t>5 pansies: individually displayed</t>
  </si>
  <si>
    <t>"Peaches &amp; Cream"</t>
  </si>
  <si>
    <t>"You've been Framed"</t>
  </si>
  <si>
    <t>6 other sweets</t>
  </si>
  <si>
    <t>loaf of another bread recipe</t>
  </si>
  <si>
    <t>L15</t>
  </si>
  <si>
    <t xml:space="preserve">Photograph "People in the Garden" </t>
  </si>
  <si>
    <t>3D poppy</t>
  </si>
  <si>
    <t>A Painted Pebble</t>
  </si>
  <si>
    <t>A Bouquet of Paper Flowers</t>
  </si>
  <si>
    <t>N9</t>
  </si>
  <si>
    <t>N10</t>
  </si>
  <si>
    <t>Best Scarecrow 
(Classes N8 - N10)</t>
  </si>
  <si>
    <t>Best indivual entry
(Classes N1 - N6)</t>
  </si>
  <si>
    <t>Name Codes (usually initials)</t>
  </si>
  <si>
    <t>George</t>
  </si>
  <si>
    <t>Alder</t>
  </si>
  <si>
    <t>GEORGEALDER</t>
  </si>
  <si>
    <t>Adeline</t>
  </si>
  <si>
    <t>Balharry</t>
  </si>
  <si>
    <t>X</t>
  </si>
  <si>
    <t>Alison</t>
  </si>
  <si>
    <t>Johnston</t>
  </si>
  <si>
    <t>BadenochStrathspey</t>
  </si>
  <si>
    <t>Beth</t>
  </si>
  <si>
    <t>Carole</t>
  </si>
  <si>
    <t>Gutteridge</t>
  </si>
  <si>
    <t>Catherine</t>
  </si>
  <si>
    <t>Downie</t>
  </si>
  <si>
    <t>David</t>
  </si>
  <si>
    <t>Marshall</t>
  </si>
  <si>
    <t>Munro</t>
  </si>
  <si>
    <t>Elizabeth</t>
  </si>
  <si>
    <t>Lyon</t>
  </si>
  <si>
    <t>Eric</t>
  </si>
  <si>
    <t>Dodd</t>
  </si>
  <si>
    <t>Fiona</t>
  </si>
  <si>
    <t>McGill</t>
  </si>
  <si>
    <t>Fran</t>
  </si>
  <si>
    <t>Raw</t>
  </si>
  <si>
    <t>Newtonmore</t>
  </si>
  <si>
    <t>Geoff</t>
  </si>
  <si>
    <t>Simpson</t>
  </si>
  <si>
    <t>Helen</t>
  </si>
  <si>
    <t>Gray</t>
  </si>
  <si>
    <t>Jean</t>
  </si>
  <si>
    <t>Slimon</t>
  </si>
  <si>
    <t>Kathleen</t>
  </si>
  <si>
    <t>Kirsty</t>
  </si>
  <si>
    <t>Neilson</t>
  </si>
  <si>
    <t>Laura</t>
  </si>
  <si>
    <t>Pierce</t>
  </si>
  <si>
    <t>Lillias</t>
  </si>
  <si>
    <t>Lynda</t>
  </si>
  <si>
    <t>Lynne</t>
  </si>
  <si>
    <t>Marielle</t>
  </si>
  <si>
    <t>Barclay</t>
  </si>
  <si>
    <t>Milly</t>
  </si>
  <si>
    <t>Cooper</t>
  </si>
  <si>
    <t>Rebecca</t>
  </si>
  <si>
    <t>Hayne</t>
  </si>
  <si>
    <t>Ron</t>
  </si>
  <si>
    <t>Rory</t>
  </si>
  <si>
    <t>Sheila</t>
  </si>
  <si>
    <t>Friend</t>
  </si>
  <si>
    <t>Sue</t>
  </si>
  <si>
    <t>Thomas</t>
  </si>
  <si>
    <t>ALISONJOHNSTON</t>
  </si>
  <si>
    <t>BETHALDER</t>
  </si>
  <si>
    <t>CAROLEGUTTERIDGE</t>
  </si>
  <si>
    <t>CATHERINEDOWNIE</t>
  </si>
  <si>
    <t>DM</t>
  </si>
  <si>
    <t>DAVIDMARSHALL</t>
  </si>
  <si>
    <t>DK</t>
  </si>
  <si>
    <t>EM</t>
  </si>
  <si>
    <t>ERICDODD</t>
  </si>
  <si>
    <t>FIONAMCGILL</t>
  </si>
  <si>
    <t>FRANRAW</t>
  </si>
  <si>
    <t>JEANSLIMON</t>
  </si>
  <si>
    <t>KATHLEENMCGILL</t>
  </si>
  <si>
    <t>KIRSTYNEILSON</t>
  </si>
  <si>
    <t>LAURAPIERCE</t>
  </si>
  <si>
    <t>LYNDADODD</t>
  </si>
  <si>
    <t>LYNNEMUNRO</t>
  </si>
  <si>
    <t>MARIELLEBARCLAY</t>
  </si>
  <si>
    <t>REBECCAHAYNE</t>
  </si>
  <si>
    <t>RONGUTTERIDGE</t>
  </si>
  <si>
    <t>RORYMCGILL</t>
  </si>
  <si>
    <t>SHEILAFRIEND</t>
  </si>
  <si>
    <t>SUETHOMAS</t>
  </si>
  <si>
    <t>ADELINEBALHARRY</t>
  </si>
  <si>
    <t>Denyse Kozub</t>
  </si>
  <si>
    <t>Denyse</t>
  </si>
  <si>
    <t>Kozub</t>
  </si>
  <si>
    <t>DENYSEKOZUB</t>
  </si>
  <si>
    <t>Noble</t>
  </si>
  <si>
    <t>LILLIASNOBLE</t>
  </si>
  <si>
    <t>Best rose 
(B9-B12)</t>
  </si>
  <si>
    <r>
      <t>Balgonie Dairy Cup</t>
    </r>
    <r>
      <rPr>
        <b/>
        <sz val="16"/>
        <color theme="1"/>
        <rFont val="Arial"/>
        <family val="2"/>
      </rPr>
      <t xml:space="preserve"> for most points in baking section (L).</t>
    </r>
  </si>
  <si>
    <t xml:space="preserve"> 1st: Amy Paterson</t>
  </si>
  <si>
    <t>Group Scarecrow
(Pre-school)</t>
  </si>
  <si>
    <t>Group Scarecrow 
(Primary)</t>
  </si>
  <si>
    <t xml:space="preserve">Group Scarecrow
(Other Group) </t>
  </si>
  <si>
    <t>Group Scarecrow 
(pre-school);  1st: GaelicNursery Newtonmore</t>
  </si>
  <si>
    <t>Group Scarecrow 
(Pre-school)</t>
  </si>
  <si>
    <t>Iain MacDonald Cup best entry by a Young Gardener in Classes N1-N6</t>
  </si>
  <si>
    <t>Rosette for Best Scarecrow</t>
  </si>
  <si>
    <t>x</t>
  </si>
  <si>
    <t>Anne</t>
  </si>
  <si>
    <t>Connelly</t>
  </si>
  <si>
    <t>Cara</t>
  </si>
  <si>
    <t>Cameron</t>
  </si>
  <si>
    <t>Abernethy</t>
  </si>
  <si>
    <t>Primary</t>
  </si>
  <si>
    <t>Robert Hayne</t>
  </si>
  <si>
    <t>Robert</t>
  </si>
  <si>
    <t>AC</t>
  </si>
  <si>
    <t>Anne Connelly</t>
  </si>
  <si>
    <t>ANNECONNELLY</t>
  </si>
  <si>
    <t>CC</t>
  </si>
  <si>
    <t>Cara Cameron</t>
  </si>
  <si>
    <t>CARACAMERON</t>
  </si>
  <si>
    <t>Elizabeth McGill</t>
  </si>
  <si>
    <t>ELIZABETHMCGILL</t>
  </si>
  <si>
    <t>ROBERTHAYNE</t>
  </si>
  <si>
    <t>REH</t>
  </si>
  <si>
    <t>RAH</t>
  </si>
  <si>
    <t>Valerie</t>
  </si>
  <si>
    <t>Macpherson</t>
  </si>
  <si>
    <t>Adam</t>
  </si>
  <si>
    <t>TherapyGarden</t>
  </si>
  <si>
    <t>AG</t>
  </si>
  <si>
    <t>Adam Gutteridge</t>
  </si>
  <si>
    <t>ADAMGUTTERIDGE</t>
  </si>
  <si>
    <t>BT</t>
  </si>
  <si>
    <t>BadenochStrathspey TherapyGarden</t>
  </si>
  <si>
    <t>BADENOCHSTRATHSPEYTHERAPYGARDEN</t>
  </si>
  <si>
    <t>GS</t>
  </si>
  <si>
    <t>Geoff Simpson</t>
  </si>
  <si>
    <t>GEOFFSIMPSON</t>
  </si>
  <si>
    <t>HG</t>
  </si>
  <si>
    <t>Helen Gray</t>
  </si>
  <si>
    <t>HELENGRAY</t>
  </si>
  <si>
    <t>MC</t>
  </si>
  <si>
    <t>Milly Cooper</t>
  </si>
  <si>
    <t>MILLYCOOPER</t>
  </si>
  <si>
    <t>NP</t>
  </si>
  <si>
    <t>Newtonmore Primary</t>
  </si>
  <si>
    <t>NEWTONMOREPRIMARY</t>
  </si>
  <si>
    <t>VM</t>
  </si>
  <si>
    <t>Valerie Macpherson</t>
  </si>
  <si>
    <t>VALERIEMACPHERSON</t>
  </si>
  <si>
    <t>KM</t>
  </si>
  <si>
    <t>P2P3</t>
  </si>
  <si>
    <t>Abernethy P1</t>
  </si>
  <si>
    <t>ABERNETHYP1</t>
  </si>
  <si>
    <t>Abernethy P2P3</t>
  </si>
  <si>
    <t>ABERNETHYP2P3</t>
  </si>
  <si>
    <t>APP</t>
  </si>
  <si>
    <t xml:space="preserve"> 1st: Anne Connelly</t>
  </si>
  <si>
    <t xml:space="preserve"> 2nd: Denyse Kozub</t>
  </si>
  <si>
    <t xml:space="preserve"> 3rd: Denyse Kozub</t>
  </si>
  <si>
    <t xml:space="preserve"> 1st: Fran Raw</t>
  </si>
  <si>
    <t xml:space="preserve"> 2nd: Anne Connelly</t>
  </si>
  <si>
    <t xml:space="preserve"> 1st: Denyse Kozub</t>
  </si>
  <si>
    <t xml:space="preserve"> 1st: Valerie Macpherson</t>
  </si>
  <si>
    <t>3rd: Lynne Munro (14 points)</t>
  </si>
  <si>
    <t xml:space="preserve"> 1st: BadenochStrathspey TherapyGarden</t>
  </si>
  <si>
    <t>1st: Beth Alder (28 points)</t>
  </si>
  <si>
    <t xml:space="preserve"> 1st: Abernethy P2P3</t>
  </si>
  <si>
    <t xml:space="preserve"> 2nd: Abernethy P1</t>
  </si>
  <si>
    <t xml:space="preserve"> 3rd: Robert Hayne</t>
  </si>
  <si>
    <t>Rory McGill &amp; Fiona McGill</t>
  </si>
  <si>
    <t xml:space="preserve"> 1st: Rory McGill &amp; Fiona McGill</t>
  </si>
  <si>
    <t xml:space="preserve"> 1st: Cara Cameron</t>
  </si>
  <si>
    <t xml:space="preserve"> 2nd: Rory McGill &amp; Fiona McGill</t>
  </si>
  <si>
    <t>StBrides</t>
  </si>
  <si>
    <t>MessyChurch</t>
  </si>
  <si>
    <t>EL</t>
  </si>
  <si>
    <t>Elizabeth Lyon</t>
  </si>
  <si>
    <t>ELIZABETHLYON</t>
  </si>
  <si>
    <t>Megan</t>
  </si>
  <si>
    <t>Eccles</t>
  </si>
  <si>
    <t>ME</t>
  </si>
  <si>
    <t>Megan Eccles</t>
  </si>
  <si>
    <t>MEGANECCLES</t>
  </si>
  <si>
    <t>SM</t>
  </si>
  <si>
    <t>StBrides MessyChurch</t>
  </si>
  <si>
    <t>STBRIDESMESSYCHURCH</t>
  </si>
  <si>
    <t xml:space="preserve"> 2nd: Megan Eccles</t>
  </si>
  <si>
    <t xml:space="preserve"> 1st: StBrides MessyChurch</t>
  </si>
  <si>
    <t>mc</t>
  </si>
  <si>
    <t xml:space="preserve"> 3rd: Milly Cooper</t>
  </si>
  <si>
    <t>1st: Adeline Balharry (9 points)</t>
  </si>
  <si>
    <t>Globe Artichokes</t>
  </si>
  <si>
    <t>Valerie Macpherson for Globe Artichokes</t>
  </si>
  <si>
    <t>1st: Anne Connelly (5 points)</t>
  </si>
  <si>
    <t>"You've been framed"</t>
  </si>
  <si>
    <t>Adeline Balharry for "You've been framed"</t>
  </si>
  <si>
    <t>Potato Person</t>
  </si>
  <si>
    <t>Rory McGill &amp; Fiona McGill for Potato Person</t>
  </si>
  <si>
    <t>Iain MacDonald Cup for best entry by a Young Gardener in Classes N1-N6</t>
  </si>
  <si>
    <t>Perennials</t>
  </si>
  <si>
    <t>Cluster-flowered rose</t>
  </si>
  <si>
    <t>mixed varieties</t>
  </si>
  <si>
    <t>Lynda Dodd for Perennials</t>
  </si>
  <si>
    <t>Valerie Macpherson for Cluster-flowered rose</t>
  </si>
  <si>
    <t>Sue Thomas for mixed varieties</t>
  </si>
  <si>
    <t xml:space="preserve"> 2nd: BadenochStrathspey TherapyGarden</t>
  </si>
  <si>
    <t>Hoya</t>
  </si>
  <si>
    <t>Mimulus</t>
  </si>
  <si>
    <t>Oxalis</t>
  </si>
  <si>
    <t>Lynne Munro for Mimulus</t>
  </si>
  <si>
    <t>Lynne Munro for Hoya</t>
  </si>
  <si>
    <t>Laura Pierce for Oxalis</t>
  </si>
  <si>
    <t xml:space="preserve"> 2nd: Sheila Friend</t>
  </si>
  <si>
    <t>Barbara</t>
  </si>
  <si>
    <t>BM</t>
  </si>
  <si>
    <t>Barbara Marshall</t>
  </si>
  <si>
    <t>BARBARAMARSHALL</t>
  </si>
  <si>
    <t xml:space="preserve"> 3rd: Barbara Marshall</t>
  </si>
  <si>
    <t>Wiltshire lardy cake</t>
  </si>
  <si>
    <t>Lynne Munro for Wiltshire lardy cake</t>
  </si>
  <si>
    <t xml:space="preserve"> 2nd: Helen Gray</t>
  </si>
  <si>
    <t xml:space="preserve"> 1st: Adam Gutteridge</t>
  </si>
  <si>
    <t xml:space="preserve"> 2nd: Milly Cooper</t>
  </si>
  <si>
    <t>Chocolate ginger fudge</t>
  </si>
  <si>
    <t>Adeline Balharry for Chocolate ginger fudge</t>
  </si>
  <si>
    <t xml:space="preserve"> 2nd: Lillias Noble</t>
  </si>
  <si>
    <t xml:space="preserve"> 3rd: Anne Connelly</t>
  </si>
  <si>
    <t>Elizabeth McGill for Liqueur</t>
  </si>
  <si>
    <t xml:space="preserve"> 1st: Elizabeth McGill</t>
  </si>
  <si>
    <t xml:space="preserve"> 3rd: Kirsty Neilson</t>
  </si>
  <si>
    <t>RF</t>
  </si>
  <si>
    <t>Robert Friend</t>
  </si>
  <si>
    <t>ROBERTFRIEND</t>
  </si>
  <si>
    <t>3rd: Eric Dodd &amp; BadenochStrathspey TherapyGarden (3 points)</t>
  </si>
  <si>
    <t>2nd: Lynne Munro (2 points)</t>
  </si>
  <si>
    <t>1st: Lynne Munro (7 points)</t>
  </si>
  <si>
    <t>2nd: Laura Pierce &amp; Adeline Balharry (8 points)</t>
  </si>
  <si>
    <t>1st: Lynda Dodd (23 points)</t>
  </si>
  <si>
    <t>2nd: Lynne Munro (20 points)</t>
  </si>
  <si>
    <t>1st: Lynne Munro (9 points)</t>
  </si>
  <si>
    <t>2nd: Catherine Downie (7 points)</t>
  </si>
  <si>
    <t>3rd: Elizabeth McGill (3 points)</t>
  </si>
  <si>
    <t xml:space="preserve"> 1st: Robert Friend</t>
  </si>
  <si>
    <t>2nd: Sue Thomas (17 points)</t>
  </si>
  <si>
    <t>2nd: BadenochStrathspey TherapyGarden &amp; Eric Dodd &amp; Valerie Macpherson (3 points)</t>
  </si>
  <si>
    <t>2nd: George Alder &amp; Sheila Friend (3 points)</t>
  </si>
  <si>
    <t>1st: Laura Pierce (10 points)</t>
  </si>
  <si>
    <t>2nd: Lynne Munro (8 points)</t>
  </si>
  <si>
    <t>3rd: Fran Raw (6 points)</t>
  </si>
  <si>
    <t>1st: Sue Thomas (3 points)</t>
  </si>
  <si>
    <t>2nd: Sheila Friend (4 points)</t>
  </si>
  <si>
    <t>3rd: Sue Thomas (17 points)</t>
  </si>
  <si>
    <t xml:space="preserve"> 3rd: George Alder</t>
  </si>
  <si>
    <t xml:space="preserve"> 2nd: Elizabeth McGill</t>
  </si>
  <si>
    <t>1st: Lynne Munro (16 points)</t>
  </si>
  <si>
    <t>1st: Beth Alder (14 points)</t>
  </si>
  <si>
    <t>2nd: Lynda Dodd (10 points)</t>
  </si>
  <si>
    <t>3rd: Denyse Kozub (8 points)</t>
  </si>
  <si>
    <t>1st</t>
  </si>
  <si>
    <t>2nd</t>
  </si>
  <si>
    <t>3rd</t>
  </si>
  <si>
    <t>Class P1 (members)</t>
  </si>
  <si>
    <t>Class N1 (Juniors)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</si>
</sst>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9" x14ac:knownFonts="1">
    <font>
      <sz val="11"/>
      <color theme="1"/>
      <name val="Calibri"/>
      <family val="2"/>
      <scheme val="minor"/>
    </font>
    <font>
      <b/>
      <sz val="12"/>
      <color theme="1"/>
      <name val="Calibri"/>
      <family val="2"/>
      <scheme val="minor"/>
    </font>
    <font>
      <b/>
      <sz val="14"/>
      <color theme="1"/>
      <name val="Calibri"/>
      <family val="2"/>
      <scheme val="minor"/>
    </font>
    <font>
      <sz val="12"/>
      <color theme="1"/>
      <name val="Calibri"/>
      <family val="2"/>
      <scheme val="minor"/>
    </font>
    <font>
      <sz val="14"/>
      <color theme="1"/>
      <name val="Calibri"/>
      <family val="2"/>
      <scheme val="minor"/>
    </font>
    <font>
      <b/>
      <sz val="16"/>
      <color theme="1"/>
      <name val="Calibri"/>
      <family val="2"/>
      <scheme val="minor"/>
    </font>
    <font>
      <b/>
      <sz val="11"/>
      <color theme="1"/>
      <name val="Calibri"/>
      <family val="2"/>
      <scheme val="minor"/>
    </font>
    <font>
      <b/>
      <sz val="9"/>
      <color theme="1"/>
      <name val="Calibri"/>
      <family val="2"/>
      <scheme val="minor"/>
    </font>
    <font>
      <b/>
      <sz val="13"/>
      <color theme="1"/>
      <name val="Calibri"/>
      <family val="2"/>
      <scheme val="minor"/>
    </font>
    <font>
      <sz val="16"/>
      <color theme="1"/>
      <name val="Calibri"/>
      <family val="2"/>
      <scheme val="minor"/>
    </font>
    <font>
      <sz val="10"/>
      <color rgb="FF333333"/>
      <name val="Arial"/>
      <family val="2"/>
    </font>
    <font>
      <sz val="9"/>
      <color indexed="81"/>
      <name val="Tahoma"/>
      <family val="2"/>
    </font>
    <font>
      <b/>
      <sz val="9"/>
      <color indexed="81"/>
      <name val="Tahoma"/>
      <family val="2"/>
    </font>
    <font>
      <u/>
      <sz val="16"/>
      <color theme="1"/>
      <name val="Calibri"/>
      <family val="2"/>
      <scheme val="minor"/>
    </font>
    <font>
      <b/>
      <sz val="12"/>
      <color theme="0" tint="-0.14999847407452621"/>
      <name val="Calibri"/>
      <family val="2"/>
      <scheme val="minor"/>
    </font>
    <font>
      <sz val="12"/>
      <color theme="1"/>
      <name val="Calibri"/>
      <family val="2"/>
    </font>
    <font>
      <sz val="12"/>
      <color rgb="FF000000"/>
      <name val="Calibri"/>
      <family val="2"/>
    </font>
    <font>
      <sz val="12"/>
      <name val="Calibri"/>
      <family val="2"/>
      <scheme val="minor"/>
    </font>
    <font>
      <b/>
      <sz val="12"/>
      <name val="Calibri"/>
      <family val="2"/>
      <scheme val="minor"/>
    </font>
    <font>
      <sz val="10"/>
      <color theme="1"/>
      <name val="Calibri"/>
      <family val="2"/>
      <scheme val="minor"/>
    </font>
    <font>
      <u/>
      <sz val="16"/>
      <name val="Calibri"/>
      <family val="2"/>
      <scheme val="minor"/>
    </font>
    <font>
      <b/>
      <sz val="18"/>
      <name val="Calibri"/>
      <family val="2"/>
      <scheme val="minor"/>
    </font>
    <font>
      <b/>
      <sz val="16"/>
      <color theme="1"/>
      <name val="Arial"/>
      <family val="2"/>
    </font>
    <font>
      <b/>
      <sz val="16"/>
      <name val="Arial"/>
      <family val="2"/>
    </font>
    <font>
      <b/>
      <sz val="14"/>
      <name val="Arial"/>
      <family val="2"/>
    </font>
    <font>
      <b/>
      <sz val="14"/>
      <color theme="1"/>
      <name val="Arial"/>
      <family val="2"/>
    </font>
    <font>
      <sz val="14"/>
      <color theme="1"/>
      <name val="Arial"/>
      <family val="2"/>
    </font>
    <font>
      <b/>
      <sz val="18"/>
      <color theme="1"/>
      <name val="Arial"/>
      <family val="2"/>
    </font>
    <font>
      <b/>
      <sz val="15"/>
      <color theme="1"/>
      <name val="Calibri"/>
      <family val="2"/>
      <scheme val="minor"/>
    </font>
    <font>
      <sz val="15"/>
      <color theme="1"/>
      <name val="Calibri"/>
      <family val="2"/>
      <scheme val="minor"/>
    </font>
    <font>
      <b/>
      <sz val="20"/>
      <name val="Calibri"/>
      <family val="2"/>
      <scheme val="minor"/>
    </font>
    <font>
      <sz val="16"/>
      <name val="Arial"/>
      <family val="2"/>
    </font>
    <font>
      <b/>
      <sz val="10"/>
      <color theme="1"/>
      <name val="Calibri"/>
      <family val="2"/>
      <scheme val="minor"/>
    </font>
    <font>
      <sz val="11"/>
      <color rgb="FF1D2228"/>
      <name val="Calibri"/>
      <family val="2"/>
      <scheme val="minor"/>
    </font>
    <font>
      <b/>
      <sz val="16"/>
      <color rgb="FF000000"/>
      <name val="Arial"/>
      <family val="2"/>
    </font>
    <font>
      <sz val="16"/>
      <color theme="1"/>
      <name val="Arial"/>
      <family val="2"/>
    </font>
    <font>
      <b/>
      <sz val="18"/>
      <name val="Arial"/>
      <family val="2"/>
    </font>
    <font>
      <sz val="18"/>
      <color theme="1"/>
      <name val="Calibri"/>
      <family val="2"/>
      <scheme val="minor"/>
    </font>
    <font>
      <sz val="20"/>
      <color theme="1"/>
      <name val="Calibri"/>
      <family val="2"/>
      <scheme val="minor"/>
    </font>
  </fonts>
  <fills count="7">
    <fill>
      <patternFill patternType="none"/>
    </fill>
    <fill>
      <patternFill patternType="gray125"/>
    </fill>
    <fill>
      <patternFill patternType="solid">
        <fgColor theme="0" tint="-0.249977111117893"/>
        <bgColor indexed="64"/>
      </patternFill>
    </fill>
    <fill>
      <patternFill patternType="solid">
        <fgColor rgb="FFFFFFFF"/>
        <bgColor indexed="64"/>
      </patternFill>
    </fill>
    <fill>
      <patternFill patternType="solid">
        <fgColor theme="0" tint="-0.14999847407452621"/>
        <bgColor indexed="64"/>
      </patternFill>
    </fill>
    <fill>
      <patternFill patternType="solid">
        <fgColor theme="0" tint="-0.14996795556505021"/>
        <bgColor indexed="64"/>
      </patternFill>
    </fill>
    <fill>
      <patternFill patternType="solid">
        <fgColor theme="3" tint="0.59999389629810485"/>
        <bgColor indexed="64"/>
      </patternFill>
    </fill>
  </fills>
  <borders count="52">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right/>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bottom style="medium">
        <color indexed="64"/>
      </bottom>
      <diagonal/>
    </border>
    <border>
      <left style="medium">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thin">
        <color indexed="64"/>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top style="thin">
        <color indexed="64"/>
      </top>
      <bottom style="thin">
        <color indexed="64"/>
      </bottom>
      <diagonal/>
    </border>
    <border>
      <left style="medium">
        <color indexed="64"/>
      </left>
      <right style="thin">
        <color indexed="64"/>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diagonal/>
    </border>
    <border>
      <left style="thin">
        <color indexed="64"/>
      </left>
      <right/>
      <top style="thin">
        <color indexed="64"/>
      </top>
      <bottom style="medium">
        <color indexed="64"/>
      </bottom>
      <diagonal/>
    </border>
    <border>
      <left style="medium">
        <color indexed="64"/>
      </left>
      <right/>
      <top style="medium">
        <color indexed="64"/>
      </top>
      <bottom/>
      <diagonal/>
    </border>
    <border>
      <left/>
      <right style="medium">
        <color indexed="64"/>
      </right>
      <top style="thin">
        <color indexed="64"/>
      </top>
      <bottom/>
      <diagonal/>
    </border>
    <border>
      <left/>
      <right/>
      <top style="medium">
        <color indexed="64"/>
      </top>
      <bottom style="medium">
        <color indexed="64"/>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style="medium">
        <color indexed="64"/>
      </left>
      <right/>
      <top/>
      <bottom style="thin">
        <color indexed="64"/>
      </bottom>
      <diagonal/>
    </border>
    <border>
      <left style="thin">
        <color indexed="64"/>
      </left>
      <right/>
      <top style="double">
        <color indexed="64"/>
      </top>
      <bottom style="thin">
        <color indexed="64"/>
      </bottom>
      <diagonal/>
    </border>
    <border>
      <left/>
      <right/>
      <top style="double">
        <color indexed="64"/>
      </top>
      <bottom style="thin">
        <color indexed="64"/>
      </bottom>
      <diagonal/>
    </border>
    <border>
      <left/>
      <right style="medium">
        <color indexed="64"/>
      </right>
      <top style="double">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s>
  <cellStyleXfs count="1">
    <xf numFmtId="0" fontId="0" fillId="0" borderId="0"/>
  </cellStyleXfs>
  <cellXfs count="519">
    <xf numFmtId="0" fontId="0" fillId="0" borderId="0" xfId="0"/>
    <xf numFmtId="0" fontId="3" fillId="0" borderId="0" xfId="0" applyFont="1"/>
    <xf numFmtId="0" fontId="2" fillId="0" borderId="0" xfId="0" applyFont="1" applyAlignment="1">
      <alignment wrapText="1"/>
    </xf>
    <xf numFmtId="0" fontId="1" fillId="0" borderId="0" xfId="0" applyFont="1"/>
    <xf numFmtId="0" fontId="3" fillId="0" borderId="0" xfId="0" applyFont="1" applyAlignment="1">
      <alignment wrapText="1"/>
    </xf>
    <xf numFmtId="0" fontId="3" fillId="0" borderId="0" xfId="0" applyFont="1" applyAlignment="1">
      <alignment horizontal="center" vertical="top"/>
    </xf>
    <xf numFmtId="0" fontId="3" fillId="0" borderId="0" xfId="0" applyFont="1" applyAlignment="1">
      <alignment horizontal="left" wrapText="1"/>
    </xf>
    <xf numFmtId="0" fontId="1" fillId="2" borderId="0" xfId="0" applyFont="1" applyFill="1" applyAlignment="1">
      <alignment vertical="center" wrapText="1"/>
    </xf>
    <xf numFmtId="0" fontId="3" fillId="0" borderId="0" xfId="0" applyFont="1" applyAlignment="1">
      <alignment horizontal="left"/>
    </xf>
    <xf numFmtId="0" fontId="3" fillId="0" borderId="0" xfId="0" applyFont="1" applyAlignment="1">
      <alignment horizontal="center"/>
    </xf>
    <xf numFmtId="0" fontId="5" fillId="0" borderId="0" xfId="0" applyFont="1"/>
    <xf numFmtId="0" fontId="3" fillId="0" borderId="0" xfId="0" applyFont="1" applyAlignment="1">
      <alignment vertical="center" wrapText="1"/>
    </xf>
    <xf numFmtId="0" fontId="3" fillId="2" borderId="0" xfId="0" applyFont="1" applyFill="1" applyAlignment="1">
      <alignment vertical="center" wrapText="1"/>
    </xf>
    <xf numFmtId="0" fontId="3" fillId="0" borderId="0" xfId="0" applyFont="1" applyAlignment="1">
      <alignment horizontal="center" vertical="center" wrapText="1"/>
    </xf>
    <xf numFmtId="0" fontId="3" fillId="2" borderId="0" xfId="0" applyFont="1" applyFill="1" applyAlignment="1">
      <alignment horizontal="center" vertical="center" wrapText="1"/>
    </xf>
    <xf numFmtId="0" fontId="3" fillId="2" borderId="0" xfId="0" applyFont="1" applyFill="1" applyAlignment="1">
      <alignment horizontal="center" wrapText="1"/>
    </xf>
    <xf numFmtId="0" fontId="5" fillId="2" borderId="0" xfId="0" applyFont="1" applyFill="1" applyAlignment="1">
      <alignment horizontal="center" vertical="center" wrapText="1"/>
    </xf>
    <xf numFmtId="0" fontId="3" fillId="4" borderId="0" xfId="0" applyFont="1" applyFill="1"/>
    <xf numFmtId="0" fontId="1" fillId="4" borderId="1" xfId="0" applyFont="1" applyFill="1" applyBorder="1" applyAlignment="1">
      <alignment vertical="center" wrapText="1"/>
    </xf>
    <xf numFmtId="0" fontId="1" fillId="4" borderId="1" xfId="0" applyFont="1" applyFill="1" applyBorder="1" applyAlignment="1">
      <alignment horizontal="center" vertical="center"/>
    </xf>
    <xf numFmtId="0" fontId="0" fillId="4" borderId="1" xfId="0" applyFill="1" applyBorder="1" applyAlignment="1">
      <alignment horizontal="left" vertical="center" wrapText="1"/>
    </xf>
    <xf numFmtId="0" fontId="3" fillId="4" borderId="0" xfId="0" applyFont="1" applyFill="1" applyAlignment="1">
      <alignment horizontal="center" vertical="center"/>
    </xf>
    <xf numFmtId="0" fontId="3" fillId="4" borderId="0" xfId="0" applyFont="1" applyFill="1" applyAlignment="1">
      <alignment wrapText="1"/>
    </xf>
    <xf numFmtId="0" fontId="1" fillId="4" borderId="1" xfId="0" applyFont="1" applyFill="1" applyBorder="1" applyAlignment="1">
      <alignment horizontal="left" vertical="center"/>
    </xf>
    <xf numFmtId="0" fontId="1" fillId="4" borderId="0" xfId="0" applyFont="1" applyFill="1" applyAlignment="1">
      <alignment horizontal="left" vertical="center" wrapText="1"/>
    </xf>
    <xf numFmtId="0" fontId="0" fillId="4" borderId="0" xfId="0" applyFill="1" applyAlignment="1">
      <alignment vertical="center" wrapText="1"/>
    </xf>
    <xf numFmtId="0" fontId="0" fillId="4" borderId="0" xfId="0" applyFill="1" applyAlignment="1" applyProtection="1">
      <alignment vertical="center" wrapText="1"/>
      <protection locked="0"/>
    </xf>
    <xf numFmtId="0" fontId="2" fillId="4" borderId="0" xfId="0" applyFont="1" applyFill="1" applyAlignment="1">
      <alignment horizontal="left" vertical="top"/>
    </xf>
    <xf numFmtId="0" fontId="1" fillId="4" borderId="0" xfId="0" applyFont="1" applyFill="1" applyAlignment="1">
      <alignment horizontal="left" wrapText="1"/>
    </xf>
    <xf numFmtId="0" fontId="3" fillId="4" borderId="1" xfId="0" applyFont="1" applyFill="1" applyBorder="1" applyAlignment="1">
      <alignment horizontal="left" vertical="center" wrapText="1"/>
    </xf>
    <xf numFmtId="0" fontId="1" fillId="4" borderId="0" xfId="0" applyFont="1" applyFill="1" applyAlignment="1">
      <alignment horizontal="center" vertical="center"/>
    </xf>
    <xf numFmtId="0" fontId="2" fillId="4" borderId="0" xfId="0" applyFont="1" applyFill="1" applyAlignment="1">
      <alignment horizontal="left" vertical="center"/>
    </xf>
    <xf numFmtId="0" fontId="0" fillId="4" borderId="0" xfId="0" applyFill="1" applyAlignment="1">
      <alignment horizontal="left" vertical="center" wrapText="1"/>
    </xf>
    <xf numFmtId="0" fontId="2" fillId="4" borderId="0" xfId="0" applyFont="1" applyFill="1" applyAlignment="1">
      <alignment horizontal="left"/>
    </xf>
    <xf numFmtId="0" fontId="5" fillId="4" borderId="0" xfId="0" applyFont="1" applyFill="1" applyAlignment="1">
      <alignment vertical="center"/>
    </xf>
    <xf numFmtId="0" fontId="3" fillId="4" borderId="0" xfId="0" applyFont="1" applyFill="1" applyAlignment="1">
      <alignment vertical="center" wrapText="1"/>
    </xf>
    <xf numFmtId="0" fontId="1" fillId="4" borderId="0" xfId="0" applyFont="1" applyFill="1" applyAlignment="1">
      <alignment wrapText="1"/>
    </xf>
    <xf numFmtId="0" fontId="1" fillId="4" borderId="0" xfId="0" applyFont="1" applyFill="1" applyAlignment="1">
      <alignment vertical="center" wrapText="1"/>
    </xf>
    <xf numFmtId="0" fontId="3" fillId="4" borderId="0" xfId="0" applyFont="1" applyFill="1" applyAlignment="1">
      <alignment horizontal="center" vertical="center" wrapText="1"/>
    </xf>
    <xf numFmtId="0" fontId="1" fillId="4" borderId="0" xfId="0" applyFont="1" applyFill="1" applyAlignment="1">
      <alignment vertical="center"/>
    </xf>
    <xf numFmtId="0" fontId="1" fillId="4" borderId="0" xfId="0" applyFont="1" applyFill="1"/>
    <xf numFmtId="49" fontId="3" fillId="4" borderId="0" xfId="0" applyNumberFormat="1" applyFont="1" applyFill="1" applyAlignment="1">
      <alignment vertical="center" wrapText="1"/>
    </xf>
    <xf numFmtId="0" fontId="2" fillId="4" borderId="0" xfId="0" applyFont="1" applyFill="1" applyAlignment="1">
      <alignment horizontal="right" vertical="center" wrapText="1"/>
    </xf>
    <xf numFmtId="0" fontId="3" fillId="4" borderId="1" xfId="0" applyFont="1" applyFill="1" applyBorder="1"/>
    <xf numFmtId="0" fontId="3" fillId="0" borderId="0" xfId="0" applyFont="1" applyAlignment="1">
      <alignment horizontal="center" vertical="center"/>
    </xf>
    <xf numFmtId="0" fontId="5" fillId="4" borderId="0" xfId="0" applyFont="1" applyFill="1" applyAlignment="1">
      <alignment horizontal="center" vertical="center" wrapText="1"/>
    </xf>
    <xf numFmtId="0" fontId="2" fillId="4" borderId="0" xfId="0" applyFont="1" applyFill="1" applyAlignment="1">
      <alignment horizontal="center" vertical="center" wrapText="1"/>
    </xf>
    <xf numFmtId="0" fontId="3" fillId="4" borderId="0" xfId="0" applyFont="1" applyFill="1" applyAlignment="1" applyProtection="1">
      <alignment vertical="center" wrapText="1"/>
      <protection locked="0"/>
    </xf>
    <xf numFmtId="49" fontId="3" fillId="4" borderId="0" xfId="0" applyNumberFormat="1" applyFont="1" applyFill="1"/>
    <xf numFmtId="0" fontId="0" fillId="3" borderId="1" xfId="0" applyFill="1" applyBorder="1" applyAlignment="1" applyProtection="1">
      <alignment horizontal="center" vertical="center" wrapText="1"/>
      <protection locked="0"/>
    </xf>
    <xf numFmtId="0" fontId="3" fillId="0" borderId="1" xfId="0" applyFont="1" applyBorder="1" applyAlignment="1" applyProtection="1">
      <alignment horizontal="center" vertical="center"/>
      <protection locked="0"/>
    </xf>
    <xf numFmtId="0" fontId="3" fillId="0" borderId="1" xfId="0" applyFont="1" applyBorder="1" applyAlignment="1" applyProtection="1">
      <alignment horizontal="center" vertical="center" wrapText="1"/>
      <protection locked="0"/>
    </xf>
    <xf numFmtId="0" fontId="3" fillId="3" borderId="1" xfId="0" applyFont="1" applyFill="1" applyBorder="1" applyAlignment="1" applyProtection="1">
      <alignment horizontal="center" vertical="center" wrapText="1"/>
      <protection locked="0"/>
    </xf>
    <xf numFmtId="0" fontId="1" fillId="4" borderId="0" xfId="0" applyFont="1" applyFill="1" applyAlignment="1">
      <alignment horizontal="center" vertical="center" wrapText="1"/>
    </xf>
    <xf numFmtId="0" fontId="3" fillId="4" borderId="0" xfId="0" applyFont="1" applyFill="1" applyAlignment="1" applyProtection="1">
      <alignment horizontal="center" vertical="center"/>
      <protection locked="0"/>
    </xf>
    <xf numFmtId="0" fontId="3" fillId="4" borderId="7" xfId="0" applyFont="1" applyFill="1" applyBorder="1" applyAlignment="1" applyProtection="1">
      <alignment horizontal="center" vertical="center"/>
      <protection locked="0"/>
    </xf>
    <xf numFmtId="0" fontId="3" fillId="4" borderId="0" xfId="0" applyFont="1" applyFill="1" applyAlignment="1">
      <alignment horizontal="center"/>
    </xf>
    <xf numFmtId="0" fontId="3" fillId="0" borderId="2" xfId="0" applyFont="1" applyBorder="1" applyAlignment="1" applyProtection="1">
      <alignment horizontal="center" vertical="center"/>
      <protection locked="0"/>
    </xf>
    <xf numFmtId="0" fontId="3" fillId="0" borderId="8" xfId="0" applyFont="1" applyBorder="1" applyAlignment="1" applyProtection="1">
      <alignment horizontal="center" vertical="center"/>
      <protection locked="0"/>
    </xf>
    <xf numFmtId="0" fontId="0" fillId="0" borderId="0" xfId="0" applyAlignment="1">
      <alignment horizontal="center" vertical="center"/>
    </xf>
    <xf numFmtId="0" fontId="10" fillId="0" borderId="0" xfId="0" applyFont="1" applyAlignment="1">
      <alignment horizontal="left" vertical="center" wrapText="1" indent="2"/>
    </xf>
    <xf numFmtId="0" fontId="3" fillId="4" borderId="0" xfId="0" applyFont="1" applyFill="1" applyAlignment="1">
      <alignment horizontal="right"/>
    </xf>
    <xf numFmtId="0" fontId="3" fillId="0" borderId="0" xfId="0" applyFont="1" applyAlignment="1">
      <alignment horizontal="right"/>
    </xf>
    <xf numFmtId="0" fontId="5" fillId="4" borderId="0" xfId="0" applyFont="1" applyFill="1" applyAlignment="1">
      <alignment horizontal="center" vertical="center"/>
    </xf>
    <xf numFmtId="0" fontId="4" fillId="4" borderId="3" xfId="0" applyFont="1" applyFill="1" applyBorder="1" applyAlignment="1">
      <alignment horizontal="center" vertical="center"/>
    </xf>
    <xf numFmtId="0" fontId="4" fillId="4" borderId="1" xfId="0" applyFont="1" applyFill="1" applyBorder="1" applyAlignment="1">
      <alignment horizontal="center" vertical="center"/>
    </xf>
    <xf numFmtId="0" fontId="0" fillId="0" borderId="0" xfId="0" applyAlignment="1">
      <alignment wrapText="1"/>
    </xf>
    <xf numFmtId="0" fontId="0" fillId="4" borderId="0" xfId="0" applyFill="1" applyAlignment="1">
      <alignment horizontal="left" wrapText="1"/>
    </xf>
    <xf numFmtId="0" fontId="3" fillId="4" borderId="0" xfId="0" applyFont="1" applyFill="1" applyAlignment="1">
      <alignment horizontal="left"/>
    </xf>
    <xf numFmtId="0" fontId="1" fillId="4" borderId="0" xfId="0" applyFont="1" applyFill="1" applyAlignment="1">
      <alignment horizontal="center" wrapText="1"/>
    </xf>
    <xf numFmtId="0" fontId="0" fillId="4" borderId="0" xfId="0" applyFill="1" applyAlignment="1" applyProtection="1">
      <alignment horizontal="center" vertical="center" wrapText="1"/>
      <protection locked="0"/>
    </xf>
    <xf numFmtId="0" fontId="3" fillId="0" borderId="1" xfId="0" applyFont="1" applyBorder="1" applyAlignment="1">
      <alignment horizontal="center" vertical="center"/>
    </xf>
    <xf numFmtId="0" fontId="3" fillId="4" borderId="0" xfId="0" applyFont="1" applyFill="1" applyAlignment="1" applyProtection="1">
      <alignment horizontal="center" vertical="center" wrapText="1"/>
      <protection locked="0"/>
    </xf>
    <xf numFmtId="0" fontId="3" fillId="4" borderId="1" xfId="0" applyFont="1" applyFill="1" applyBorder="1" applyAlignment="1">
      <alignment horizontal="center" vertical="center" wrapText="1"/>
    </xf>
    <xf numFmtId="0" fontId="3" fillId="3" borderId="5" xfId="0" applyFont="1" applyFill="1" applyBorder="1" applyAlignment="1" applyProtection="1">
      <alignment horizontal="center" vertical="center" wrapText="1"/>
      <protection locked="0"/>
    </xf>
    <xf numFmtId="0" fontId="3" fillId="4" borderId="10" xfId="0" applyFont="1" applyFill="1" applyBorder="1" applyAlignment="1">
      <alignment horizontal="right" vertical="center"/>
    </xf>
    <xf numFmtId="0" fontId="3" fillId="4" borderId="0" xfId="0" applyFont="1" applyFill="1" applyAlignment="1">
      <alignment horizontal="center" vertical="top"/>
    </xf>
    <xf numFmtId="0" fontId="7" fillId="4" borderId="0" xfId="0" applyFont="1" applyFill="1" applyAlignment="1">
      <alignment horizontal="center" vertical="center" textRotation="90" wrapText="1"/>
    </xf>
    <xf numFmtId="0" fontId="13" fillId="0" borderId="0" xfId="0" applyFont="1" applyAlignment="1">
      <alignment vertical="top"/>
    </xf>
    <xf numFmtId="0" fontId="3" fillId="0" borderId="0" xfId="0" applyFont="1" applyAlignment="1">
      <alignment vertical="center"/>
    </xf>
    <xf numFmtId="0" fontId="3" fillId="0" borderId="0" xfId="0" applyFont="1" applyAlignment="1">
      <alignment horizontal="left" vertical="center"/>
    </xf>
    <xf numFmtId="0" fontId="15" fillId="0" borderId="0" xfId="0" applyFont="1" applyAlignment="1">
      <alignment vertical="center"/>
    </xf>
    <xf numFmtId="0" fontId="15" fillId="0" borderId="0" xfId="0" applyFont="1" applyAlignment="1">
      <alignment horizontal="left" vertical="center" indent="3"/>
    </xf>
    <xf numFmtId="0" fontId="16" fillId="0" borderId="0" xfId="0" applyFont="1" applyAlignment="1">
      <alignment vertical="center"/>
    </xf>
    <xf numFmtId="0" fontId="6" fillId="0" borderId="0" xfId="0" applyFont="1"/>
    <xf numFmtId="0" fontId="1" fillId="0" borderId="0" xfId="0" applyFont="1" applyAlignment="1">
      <alignment horizontal="left" vertical="center"/>
    </xf>
    <xf numFmtId="0" fontId="1" fillId="0" borderId="0" xfId="0" applyFont="1" applyAlignment="1">
      <alignment horizontal="left" vertical="center" wrapText="1"/>
    </xf>
    <xf numFmtId="0" fontId="1" fillId="4" borderId="0" xfId="0" applyFont="1" applyFill="1" applyAlignment="1">
      <alignment horizontal="right" vertical="center" wrapText="1"/>
    </xf>
    <xf numFmtId="0" fontId="0" fillId="4" borderId="0" xfId="0" applyFill="1" applyAlignment="1">
      <alignment horizontal="center" vertical="center" wrapText="1"/>
    </xf>
    <xf numFmtId="0" fontId="1" fillId="0" borderId="4" xfId="0" applyFont="1" applyBorder="1" applyAlignment="1">
      <alignment horizontal="left" vertical="center" wrapText="1"/>
    </xf>
    <xf numFmtId="0" fontId="3" fillId="0" borderId="4" xfId="0" applyFont="1" applyBorder="1" applyAlignment="1">
      <alignment horizontal="left" vertical="center" wrapText="1"/>
    </xf>
    <xf numFmtId="0" fontId="3" fillId="0" borderId="9" xfId="0" applyFont="1" applyBorder="1" applyAlignment="1">
      <alignment horizontal="left" wrapText="1"/>
    </xf>
    <xf numFmtId="0" fontId="1" fillId="0" borderId="6" xfId="0" applyFont="1" applyBorder="1" applyAlignment="1">
      <alignment horizontal="left" vertical="center"/>
    </xf>
    <xf numFmtId="0" fontId="3" fillId="0" borderId="6" xfId="0" applyFont="1" applyBorder="1" applyAlignment="1">
      <alignment horizontal="left" vertical="top" wrapText="1"/>
    </xf>
    <xf numFmtId="0" fontId="1" fillId="0" borderId="7" xfId="0" applyFont="1" applyBorder="1" applyAlignment="1">
      <alignment horizontal="left" vertical="top" wrapText="1"/>
    </xf>
    <xf numFmtId="0" fontId="17" fillId="0" borderId="4" xfId="0" applyFont="1" applyBorder="1" applyAlignment="1">
      <alignment horizontal="left" vertical="center" wrapText="1"/>
    </xf>
    <xf numFmtId="0" fontId="18" fillId="0" borderId="4" xfId="0" applyFont="1" applyBorder="1" applyAlignment="1">
      <alignment horizontal="left" vertical="center" wrapText="1"/>
    </xf>
    <xf numFmtId="0" fontId="1" fillId="0" borderId="9" xfId="0" applyFont="1" applyBorder="1" applyAlignment="1">
      <alignment horizontal="left" vertical="center" wrapText="1"/>
    </xf>
    <xf numFmtId="0" fontId="3" fillId="0" borderId="9" xfId="0" applyFont="1" applyBorder="1" applyAlignment="1">
      <alignment horizontal="left" vertical="center" wrapText="1"/>
    </xf>
    <xf numFmtId="0" fontId="6" fillId="0" borderId="0" xfId="0" applyFont="1" applyAlignment="1">
      <alignment wrapText="1"/>
    </xf>
    <xf numFmtId="1" fontId="3" fillId="0" borderId="0" xfId="0" applyNumberFormat="1" applyFont="1" applyAlignment="1">
      <alignment horizontal="center"/>
    </xf>
    <xf numFmtId="0" fontId="3" fillId="0" borderId="1" xfId="0" applyFont="1" applyBorder="1"/>
    <xf numFmtId="0" fontId="3" fillId="6" borderId="1" xfId="0" applyFont="1" applyFill="1" applyBorder="1" applyProtection="1">
      <protection locked="0"/>
    </xf>
    <xf numFmtId="0" fontId="3" fillId="6" borderId="0" xfId="0" applyFont="1" applyFill="1" applyProtection="1">
      <protection locked="0"/>
    </xf>
    <xf numFmtId="0" fontId="5" fillId="0" borderId="0" xfId="0" applyFont="1" applyAlignment="1">
      <alignment wrapText="1"/>
    </xf>
    <xf numFmtId="0" fontId="3" fillId="6" borderId="0" xfId="0" applyFont="1" applyFill="1"/>
    <xf numFmtId="0" fontId="2" fillId="6" borderId="1" xfId="0" applyFont="1" applyFill="1" applyBorder="1" applyAlignment="1">
      <alignment horizontal="center" vertical="center" wrapText="1"/>
    </xf>
    <xf numFmtId="0" fontId="0" fillId="4" borderId="0" xfId="0" applyFill="1"/>
    <xf numFmtId="1" fontId="3" fillId="6" borderId="0" xfId="0" applyNumberFormat="1" applyFont="1" applyFill="1" applyAlignment="1">
      <alignment horizontal="center"/>
    </xf>
    <xf numFmtId="0" fontId="0" fillId="4" borderId="0" xfId="0" applyFill="1" applyAlignment="1">
      <alignment wrapText="1"/>
    </xf>
    <xf numFmtId="0" fontId="3" fillId="0" borderId="0" xfId="0" applyFont="1" applyAlignment="1" applyProtection="1">
      <alignment horizontal="center" vertical="center" wrapText="1"/>
      <protection locked="0"/>
    </xf>
    <xf numFmtId="0" fontId="3" fillId="0" borderId="0" xfId="0" applyFont="1" applyAlignment="1">
      <alignment horizontal="left" vertical="center" wrapText="1"/>
    </xf>
    <xf numFmtId="0" fontId="2" fillId="0" borderId="0" xfId="0" applyFont="1" applyAlignment="1">
      <alignment vertical="center" wrapText="1"/>
    </xf>
    <xf numFmtId="0" fontId="0" fillId="0" borderId="0" xfId="0" applyAlignment="1">
      <alignment horizontal="center"/>
    </xf>
    <xf numFmtId="0" fontId="2" fillId="0" borderId="1" xfId="0" applyFont="1" applyBorder="1" applyAlignment="1">
      <alignment horizontal="center" vertical="center" wrapText="1"/>
    </xf>
    <xf numFmtId="0" fontId="2" fillId="0" borderId="14" xfId="0" applyFont="1" applyBorder="1" applyAlignment="1">
      <alignment horizontal="center" vertical="center" wrapText="1"/>
    </xf>
    <xf numFmtId="0" fontId="2" fillId="0" borderId="16" xfId="0" applyFont="1" applyBorder="1" applyAlignment="1">
      <alignment horizontal="center" vertical="center" wrapText="1"/>
    </xf>
    <xf numFmtId="1" fontId="1" fillId="0" borderId="35" xfId="0" applyNumberFormat="1" applyFont="1" applyBorder="1" applyAlignment="1">
      <alignment horizontal="center" vertical="center" wrapText="1"/>
    </xf>
    <xf numFmtId="1" fontId="1" fillId="0" borderId="36" xfId="0" applyNumberFormat="1" applyFont="1" applyBorder="1" applyAlignment="1">
      <alignment horizontal="center" vertical="center" wrapText="1"/>
    </xf>
    <xf numFmtId="0" fontId="3" fillId="0" borderId="35" xfId="0" applyFont="1" applyBorder="1" applyAlignment="1">
      <alignment horizontal="center" vertical="center"/>
    </xf>
    <xf numFmtId="0" fontId="3" fillId="0" borderId="36" xfId="0" applyFont="1" applyBorder="1" applyAlignment="1">
      <alignment horizontal="center" vertical="center"/>
    </xf>
    <xf numFmtId="1" fontId="1" fillId="0" borderId="37" xfId="0" applyNumberFormat="1" applyFont="1" applyBorder="1" applyAlignment="1">
      <alignment horizontal="center" vertical="center" wrapText="1"/>
    </xf>
    <xf numFmtId="0" fontId="3" fillId="0" borderId="37" xfId="0" applyFont="1" applyBorder="1" applyAlignment="1">
      <alignment horizontal="center" vertical="center"/>
    </xf>
    <xf numFmtId="0" fontId="3" fillId="0" borderId="14" xfId="0" applyFont="1" applyBorder="1" applyAlignment="1">
      <alignment horizontal="center" vertical="center"/>
    </xf>
    <xf numFmtId="0" fontId="3" fillId="0" borderId="16" xfId="0" applyFont="1" applyBorder="1" applyAlignment="1">
      <alignment horizontal="center" vertical="center"/>
    </xf>
    <xf numFmtId="0" fontId="3" fillId="0" borderId="30" xfId="0" applyFont="1" applyBorder="1" applyAlignment="1">
      <alignment horizontal="center" vertical="center"/>
    </xf>
    <xf numFmtId="0" fontId="3" fillId="0" borderId="5" xfId="0" applyFont="1" applyBorder="1" applyAlignment="1">
      <alignment horizontal="center" vertical="center"/>
    </xf>
    <xf numFmtId="0" fontId="3" fillId="0" borderId="31" xfId="0" applyFont="1" applyBorder="1" applyAlignment="1">
      <alignment horizontal="center" vertical="center"/>
    </xf>
    <xf numFmtId="0" fontId="3" fillId="0" borderId="19" xfId="0" applyFont="1" applyBorder="1" applyAlignment="1">
      <alignment horizontal="center" vertical="center"/>
    </xf>
    <xf numFmtId="0" fontId="3" fillId="0" borderId="20" xfId="0" applyFont="1" applyBorder="1" applyAlignment="1">
      <alignment horizontal="center" vertical="center"/>
    </xf>
    <xf numFmtId="0" fontId="3" fillId="0" borderId="21" xfId="0" applyFont="1" applyBorder="1" applyAlignment="1">
      <alignment horizontal="center" vertical="center"/>
    </xf>
    <xf numFmtId="0" fontId="3" fillId="0" borderId="4" xfId="0" applyFont="1" applyBorder="1" applyAlignment="1">
      <alignment horizontal="center" vertical="center"/>
    </xf>
    <xf numFmtId="0" fontId="3" fillId="0" borderId="9" xfId="0" applyFont="1" applyBorder="1" applyAlignment="1">
      <alignment horizontal="center" vertical="center"/>
    </xf>
    <xf numFmtId="0" fontId="3" fillId="0" borderId="38" xfId="0" applyFont="1" applyBorder="1" applyAlignment="1">
      <alignment horizontal="center" vertical="center"/>
    </xf>
    <xf numFmtId="0" fontId="0" fillId="0" borderId="14" xfId="0" applyBorder="1" applyAlignment="1">
      <alignment horizontal="center"/>
    </xf>
    <xf numFmtId="0" fontId="0" fillId="0" borderId="1" xfId="0" applyBorder="1" applyAlignment="1">
      <alignment horizontal="center" vertical="center"/>
    </xf>
    <xf numFmtId="0" fontId="3" fillId="0" borderId="1" xfId="0" applyFont="1" applyBorder="1" applyAlignment="1">
      <alignment horizontal="left" vertical="center" wrapText="1"/>
    </xf>
    <xf numFmtId="0" fontId="3" fillId="4" borderId="12" xfId="0" applyFont="1" applyFill="1" applyBorder="1" applyAlignment="1">
      <alignment horizontal="left" vertical="center"/>
    </xf>
    <xf numFmtId="0" fontId="3" fillId="6" borderId="0" xfId="0" applyFont="1" applyFill="1" applyAlignment="1">
      <alignment horizontal="center"/>
    </xf>
    <xf numFmtId="0" fontId="19" fillId="6" borderId="0" xfId="0" applyFont="1" applyFill="1" applyAlignment="1" applyProtection="1">
      <alignment horizontal="left"/>
      <protection locked="0"/>
    </xf>
    <xf numFmtId="0" fontId="3" fillId="6" borderId="0" xfId="0" applyFont="1" applyFill="1" applyAlignment="1" applyProtection="1">
      <alignment horizontal="left"/>
      <protection locked="0"/>
    </xf>
    <xf numFmtId="0" fontId="3" fillId="4" borderId="12" xfId="0" applyFont="1" applyFill="1" applyBorder="1" applyAlignment="1">
      <alignment horizontal="left" vertical="center" wrapText="1"/>
    </xf>
    <xf numFmtId="0" fontId="3" fillId="3" borderId="3" xfId="0" applyFont="1" applyFill="1" applyBorder="1" applyAlignment="1" applyProtection="1">
      <alignment vertical="center"/>
      <protection locked="0"/>
    </xf>
    <xf numFmtId="0" fontId="3" fillId="3" borderId="1" xfId="0" applyFont="1" applyFill="1" applyBorder="1" applyAlignment="1" applyProtection="1">
      <alignment vertical="center"/>
      <protection locked="0"/>
    </xf>
    <xf numFmtId="0" fontId="3" fillId="3" borderId="1" xfId="0" applyFont="1" applyFill="1" applyBorder="1" applyAlignment="1" applyProtection="1">
      <alignment horizontal="center" vertical="center"/>
      <protection locked="0"/>
    </xf>
    <xf numFmtId="0" fontId="20" fillId="0" borderId="0" xfId="0" applyFont="1" applyAlignment="1">
      <alignment vertical="top"/>
    </xf>
    <xf numFmtId="0" fontId="17" fillId="0" borderId="0" xfId="0" applyFont="1" applyAlignment="1">
      <alignment vertical="center"/>
    </xf>
    <xf numFmtId="0" fontId="17" fillId="0" borderId="0" xfId="0" applyFont="1" applyAlignment="1">
      <alignment wrapText="1"/>
    </xf>
    <xf numFmtId="0" fontId="17" fillId="0" borderId="0" xfId="0" applyFont="1"/>
    <xf numFmtId="49" fontId="3" fillId="0" borderId="0" xfId="0" applyNumberFormat="1" applyFont="1"/>
    <xf numFmtId="0" fontId="3" fillId="0" borderId="34" xfId="0" applyFont="1" applyBorder="1" applyAlignment="1">
      <alignment horizontal="center" wrapText="1"/>
    </xf>
    <xf numFmtId="0" fontId="5" fillId="0" borderId="34" xfId="0" applyFont="1" applyBorder="1" applyAlignment="1">
      <alignment wrapText="1"/>
    </xf>
    <xf numFmtId="1" fontId="2" fillId="0" borderId="35" xfId="0" applyNumberFormat="1" applyFont="1" applyBorder="1" applyAlignment="1">
      <alignment horizontal="left" vertical="center" wrapText="1"/>
    </xf>
    <xf numFmtId="1" fontId="2" fillId="0" borderId="37" xfId="0" applyNumberFormat="1" applyFont="1" applyBorder="1" applyAlignment="1">
      <alignment horizontal="left" vertical="center" wrapText="1"/>
    </xf>
    <xf numFmtId="1" fontId="2" fillId="0" borderId="36" xfId="0" applyNumberFormat="1" applyFont="1" applyBorder="1" applyAlignment="1">
      <alignment horizontal="left" vertical="center" wrapText="1"/>
    </xf>
    <xf numFmtId="0" fontId="2" fillId="0" borderId="35" xfId="0" applyFont="1" applyBorder="1" applyAlignment="1">
      <alignment horizontal="center" vertical="center" wrapText="1"/>
    </xf>
    <xf numFmtId="0" fontId="1" fillId="0" borderId="1" xfId="0" applyFont="1" applyBorder="1" applyAlignment="1">
      <alignment horizontal="center" vertical="center"/>
    </xf>
    <xf numFmtId="0" fontId="1" fillId="0" borderId="1" xfId="0" applyFont="1" applyBorder="1" applyAlignment="1">
      <alignment horizontal="left" vertical="center" wrapText="1"/>
    </xf>
    <xf numFmtId="0" fontId="6" fillId="0" borderId="0" xfId="0" applyFont="1" applyAlignment="1">
      <alignment horizontal="center"/>
    </xf>
    <xf numFmtId="0" fontId="0" fillId="0" borderId="1" xfId="0" applyBorder="1" applyAlignment="1">
      <alignment horizontal="center"/>
    </xf>
    <xf numFmtId="0" fontId="6" fillId="0" borderId="1" xfId="0" applyFont="1" applyBorder="1" applyAlignment="1">
      <alignment horizontal="center" wrapText="1"/>
    </xf>
    <xf numFmtId="0" fontId="0" fillId="0" borderId="22" xfId="0" applyBorder="1" applyAlignment="1">
      <alignment horizontal="center"/>
    </xf>
    <xf numFmtId="0" fontId="0" fillId="0" borderId="23" xfId="0" applyBorder="1" applyAlignment="1">
      <alignment horizontal="center"/>
    </xf>
    <xf numFmtId="0" fontId="0" fillId="0" borderId="24" xfId="0" applyBorder="1" applyAlignment="1">
      <alignment horizontal="center"/>
    </xf>
    <xf numFmtId="0" fontId="6" fillId="0" borderId="14" xfId="0" applyFont="1" applyBorder="1" applyAlignment="1">
      <alignment horizontal="center" wrapText="1"/>
    </xf>
    <xf numFmtId="0" fontId="6" fillId="0" borderId="16" xfId="0" applyFont="1" applyBorder="1" applyAlignment="1">
      <alignment horizontal="center" wrapText="1"/>
    </xf>
    <xf numFmtId="0" fontId="0" fillId="0" borderId="16" xfId="0"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0" fontId="17" fillId="0" borderId="0" xfId="0" applyFont="1" applyAlignment="1">
      <alignment vertical="center" wrapText="1"/>
    </xf>
    <xf numFmtId="0" fontId="3" fillId="0" borderId="0" xfId="0" applyFont="1" applyAlignment="1">
      <alignment horizontal="left" vertical="center" indent="1"/>
    </xf>
    <xf numFmtId="0" fontId="3" fillId="0" borderId="0" xfId="0" applyFont="1" applyAlignment="1">
      <alignment horizontal="left" indent="1"/>
    </xf>
    <xf numFmtId="0" fontId="8" fillId="4" borderId="0" xfId="0" applyFont="1" applyFill="1" applyAlignment="1">
      <alignment horizontal="left" vertical="center" wrapText="1"/>
    </xf>
    <xf numFmtId="0" fontId="2" fillId="4" borderId="0" xfId="0" applyFont="1" applyFill="1" applyAlignment="1">
      <alignment vertical="center"/>
    </xf>
    <xf numFmtId="0" fontId="1" fillId="0" borderId="0" xfId="0" applyFont="1" applyAlignment="1">
      <alignment vertical="center"/>
    </xf>
    <xf numFmtId="0" fontId="0" fillId="4" borderId="0" xfId="0" applyFill="1" applyAlignment="1">
      <alignment horizontal="left" vertical="center"/>
    </xf>
    <xf numFmtId="0" fontId="0" fillId="4" borderId="0" xfId="0" applyFill="1" applyAlignment="1">
      <alignment vertical="center"/>
    </xf>
    <xf numFmtId="0" fontId="5" fillId="2" borderId="0" xfId="0" applyFont="1" applyFill="1" applyAlignment="1">
      <alignment vertical="center" wrapText="1"/>
    </xf>
    <xf numFmtId="0" fontId="1" fillId="4" borderId="1" xfId="0" applyFont="1" applyFill="1" applyBorder="1" applyAlignment="1">
      <alignment horizontal="center" vertical="center" wrapText="1"/>
    </xf>
    <xf numFmtId="0" fontId="4" fillId="4" borderId="0" xfId="0" applyFont="1" applyFill="1" applyAlignment="1">
      <alignment horizontal="left" vertical="center" wrapText="1"/>
    </xf>
    <xf numFmtId="0" fontId="0" fillId="0" borderId="4" xfId="0" applyBorder="1" applyAlignment="1">
      <alignment horizontal="center" vertical="center"/>
    </xf>
    <xf numFmtId="0" fontId="0" fillId="0" borderId="14" xfId="0" applyBorder="1" applyAlignment="1">
      <alignment horizontal="center" vertical="center"/>
    </xf>
    <xf numFmtId="0" fontId="5" fillId="0" borderId="0" xfId="0" applyFont="1" applyAlignment="1">
      <alignment vertical="center"/>
    </xf>
    <xf numFmtId="0" fontId="15" fillId="4" borderId="1" xfId="0" applyFont="1" applyFill="1" applyBorder="1" applyAlignment="1">
      <alignment vertical="center" wrapText="1"/>
    </xf>
    <xf numFmtId="0" fontId="7" fillId="4" borderId="1" xfId="0" applyFont="1" applyFill="1" applyBorder="1" applyAlignment="1">
      <alignment horizontal="center" vertical="center" textRotation="90" wrapText="1"/>
    </xf>
    <xf numFmtId="0" fontId="1" fillId="4" borderId="0" xfId="0" applyFont="1" applyFill="1" applyAlignment="1">
      <alignment horizontal="left" vertical="center"/>
    </xf>
    <xf numFmtId="0" fontId="3" fillId="4" borderId="0" xfId="0" applyFont="1" applyFill="1" applyAlignment="1">
      <alignment horizontal="left" vertical="center" wrapText="1"/>
    </xf>
    <xf numFmtId="0" fontId="3" fillId="4" borderId="0" xfId="0" applyFont="1" applyFill="1" applyAlignment="1">
      <alignment horizontal="left" wrapText="1"/>
    </xf>
    <xf numFmtId="0" fontId="7" fillId="4" borderId="0" xfId="0" applyFont="1" applyFill="1" applyAlignment="1">
      <alignment horizontal="center" textRotation="90" wrapText="1"/>
    </xf>
    <xf numFmtId="0" fontId="3" fillId="0" borderId="0" xfId="0" applyFont="1" applyAlignment="1" applyProtection="1">
      <alignment horizontal="center"/>
      <protection locked="0"/>
    </xf>
    <xf numFmtId="0" fontId="3" fillId="0" borderId="0" xfId="0" applyFont="1" applyAlignment="1">
      <alignment horizontal="left" vertical="top" wrapText="1"/>
    </xf>
    <xf numFmtId="0" fontId="0" fillId="0" borderId="0" xfId="0" applyAlignment="1" applyProtection="1">
      <alignment horizontal="center" vertical="center" wrapText="1"/>
      <protection locked="0"/>
    </xf>
    <xf numFmtId="0" fontId="3" fillId="3" borderId="0" xfId="0" applyFont="1" applyFill="1" applyAlignment="1" applyProtection="1">
      <alignment horizontal="center" vertical="center" wrapText="1"/>
      <protection locked="0"/>
    </xf>
    <xf numFmtId="0" fontId="1" fillId="0" borderId="0" xfId="0" applyFont="1" applyAlignment="1" applyProtection="1">
      <alignment horizontal="center" vertical="center" wrapText="1"/>
      <protection locked="0"/>
    </xf>
    <xf numFmtId="0" fontId="1" fillId="0" borderId="0" xfId="0" applyFont="1" applyAlignment="1">
      <alignment horizontal="center" vertical="center" wrapText="1"/>
    </xf>
    <xf numFmtId="0" fontId="3" fillId="0" borderId="0" xfId="0" applyFont="1" applyAlignment="1">
      <alignment horizontal="center" wrapText="1"/>
    </xf>
    <xf numFmtId="0" fontId="6" fillId="0" borderId="0" xfId="0" applyFont="1" applyAlignment="1">
      <alignment horizontal="right" vertical="center" wrapText="1"/>
    </xf>
    <xf numFmtId="0" fontId="19" fillId="3" borderId="0" xfId="0" applyFont="1" applyFill="1" applyAlignment="1" applyProtection="1">
      <alignment horizontal="center" vertical="center" wrapText="1"/>
      <protection locked="0"/>
    </xf>
    <xf numFmtId="0" fontId="19" fillId="0" borderId="0" xfId="0" applyFont="1" applyAlignment="1" applyProtection="1">
      <alignment horizontal="center" vertical="center" wrapText="1"/>
      <protection locked="0"/>
    </xf>
    <xf numFmtId="0" fontId="1" fillId="0" borderId="0" xfId="0" applyFont="1" applyAlignment="1">
      <alignment horizontal="center" wrapText="1"/>
    </xf>
    <xf numFmtId="0" fontId="1" fillId="0" borderId="0" xfId="0" applyFont="1" applyAlignment="1">
      <alignment horizontal="left"/>
    </xf>
    <xf numFmtId="0" fontId="3" fillId="0" borderId="6" xfId="0" applyFont="1" applyBorder="1" applyAlignment="1">
      <alignment horizontal="left" vertical="center" wrapText="1"/>
    </xf>
    <xf numFmtId="0" fontId="3" fillId="0" borderId="1" xfId="0" applyFont="1" applyBorder="1" applyAlignment="1">
      <alignment horizontal="left" vertical="top" wrapText="1"/>
    </xf>
    <xf numFmtId="0" fontId="3" fillId="3" borderId="1" xfId="0" applyFont="1" applyFill="1" applyBorder="1" applyAlignment="1">
      <alignment horizontal="left" vertical="center" wrapText="1"/>
    </xf>
    <xf numFmtId="0" fontId="3" fillId="0" borderId="1" xfId="0" applyFont="1" applyBorder="1" applyAlignment="1" applyProtection="1">
      <alignment horizontal="left" vertical="center" wrapText="1"/>
      <protection locked="0"/>
    </xf>
    <xf numFmtId="0" fontId="3" fillId="3" borderId="1" xfId="0" applyFont="1" applyFill="1" applyBorder="1" applyAlignment="1" applyProtection="1">
      <alignment horizontal="left" vertical="center" wrapText="1"/>
      <protection locked="0"/>
    </xf>
    <xf numFmtId="0" fontId="3" fillId="0" borderId="5" xfId="0" applyFont="1" applyBorder="1" applyAlignment="1" applyProtection="1">
      <alignment horizontal="left" vertical="center" wrapText="1"/>
      <protection locked="0"/>
    </xf>
    <xf numFmtId="0" fontId="3" fillId="3" borderId="5" xfId="0" applyFont="1" applyFill="1" applyBorder="1" applyAlignment="1" applyProtection="1">
      <alignment horizontal="left" vertical="center" wrapText="1"/>
      <protection locked="0"/>
    </xf>
    <xf numFmtId="0" fontId="3" fillId="0" borderId="1" xfId="0" applyFont="1" applyBorder="1" applyAlignment="1">
      <alignment horizontal="left"/>
    </xf>
    <xf numFmtId="0" fontId="6" fillId="0" borderId="1" xfId="0" applyFont="1" applyBorder="1" applyAlignment="1">
      <alignment horizontal="left"/>
    </xf>
    <xf numFmtId="0" fontId="1" fillId="0" borderId="1" xfId="0" applyFont="1" applyBorder="1" applyAlignment="1">
      <alignment horizontal="left" vertical="center"/>
    </xf>
    <xf numFmtId="0" fontId="1" fillId="0" borderId="4" xfId="0" applyFont="1" applyBorder="1" applyAlignment="1">
      <alignment horizontal="left" vertical="center"/>
    </xf>
    <xf numFmtId="0" fontId="3" fillId="0" borderId="1" xfId="0" applyFont="1" applyBorder="1" applyAlignment="1" applyProtection="1">
      <alignment horizontal="left" vertical="center"/>
      <protection locked="0"/>
    </xf>
    <xf numFmtId="0" fontId="3" fillId="0" borderId="4" xfId="0" applyFont="1" applyBorder="1" applyAlignment="1" applyProtection="1">
      <alignment horizontal="left" vertical="center" wrapText="1"/>
      <protection locked="0"/>
    </xf>
    <xf numFmtId="0" fontId="1" fillId="0" borderId="1" xfId="0" applyFont="1" applyBorder="1" applyAlignment="1" applyProtection="1">
      <alignment horizontal="left" vertical="center" wrapText="1"/>
      <protection locked="0"/>
    </xf>
    <xf numFmtId="0" fontId="1" fillId="0" borderId="5" xfId="0" applyFont="1" applyBorder="1" applyAlignment="1" applyProtection="1">
      <alignment horizontal="left" vertical="center" wrapText="1"/>
      <protection locked="0"/>
    </xf>
    <xf numFmtId="0" fontId="3" fillId="0" borderId="6" xfId="0" applyFont="1" applyBorder="1" applyAlignment="1" applyProtection="1">
      <alignment horizontal="left" vertical="center" wrapText="1"/>
      <protection locked="0"/>
    </xf>
    <xf numFmtId="0" fontId="1" fillId="0" borderId="0" xfId="0" applyFont="1" applyAlignment="1" applyProtection="1">
      <alignment horizontal="left" vertical="center" wrapText="1"/>
      <protection locked="0"/>
    </xf>
    <xf numFmtId="49" fontId="3" fillId="0" borderId="1" xfId="0" applyNumberFormat="1" applyFont="1" applyBorder="1" applyAlignment="1" applyProtection="1">
      <alignment horizontal="left" vertical="center" wrapText="1"/>
      <protection locked="0"/>
    </xf>
    <xf numFmtId="49" fontId="3" fillId="0" borderId="5" xfId="0" applyNumberFormat="1" applyFont="1" applyBorder="1" applyAlignment="1" applyProtection="1">
      <alignment horizontal="left" vertical="center" wrapText="1"/>
      <protection locked="0"/>
    </xf>
    <xf numFmtId="0" fontId="3" fillId="0" borderId="0" xfId="0" applyFont="1" applyAlignment="1" applyProtection="1">
      <alignment horizontal="left" vertical="center" wrapText="1"/>
      <protection locked="0"/>
    </xf>
    <xf numFmtId="0" fontId="6" fillId="0" borderId="1" xfId="0" applyFont="1" applyBorder="1" applyAlignment="1">
      <alignment horizontal="center" vertical="center" wrapText="1"/>
    </xf>
    <xf numFmtId="0" fontId="6" fillId="0" borderId="1" xfId="0" applyFont="1" applyBorder="1" applyAlignment="1">
      <alignment horizontal="center" vertical="center"/>
    </xf>
    <xf numFmtId="0" fontId="6" fillId="0" borderId="3" xfId="0" applyFont="1" applyBorder="1" applyAlignment="1">
      <alignment horizontal="center" vertical="center"/>
    </xf>
    <xf numFmtId="0" fontId="6" fillId="0" borderId="0" xfId="0" applyFont="1" applyAlignment="1">
      <alignment horizontal="center" vertical="center"/>
    </xf>
    <xf numFmtId="0" fontId="1" fillId="0" borderId="5" xfId="0" applyFont="1" applyBorder="1" applyAlignment="1">
      <alignment horizontal="left" vertical="center"/>
    </xf>
    <xf numFmtId="0" fontId="1" fillId="0" borderId="5" xfId="0" applyFont="1" applyBorder="1" applyAlignment="1">
      <alignment horizontal="left" vertical="top"/>
    </xf>
    <xf numFmtId="0" fontId="1" fillId="0" borderId="1" xfId="0" applyFont="1" applyBorder="1" applyAlignment="1">
      <alignment horizontal="left" vertical="top"/>
    </xf>
    <xf numFmtId="0" fontId="1" fillId="0" borderId="0" xfId="0" applyFont="1" applyAlignment="1">
      <alignment horizontal="left" vertical="top"/>
    </xf>
    <xf numFmtId="0" fontId="1" fillId="0" borderId="0" xfId="0" applyFont="1" applyAlignment="1">
      <alignment vertical="center" wrapText="1"/>
    </xf>
    <xf numFmtId="0" fontId="0" fillId="0" borderId="0" xfId="0" applyAlignment="1">
      <alignment vertical="center" wrapText="1"/>
    </xf>
    <xf numFmtId="0" fontId="1" fillId="5" borderId="2" xfId="0" applyFont="1" applyFill="1" applyBorder="1" applyAlignment="1">
      <alignment horizontal="left" vertical="center"/>
    </xf>
    <xf numFmtId="0" fontId="0" fillId="4" borderId="8" xfId="0" applyFill="1" applyBorder="1" applyAlignment="1">
      <alignment horizontal="left" vertical="top" wrapText="1"/>
    </xf>
    <xf numFmtId="0" fontId="3" fillId="0" borderId="2" xfId="0" applyFont="1" applyBorder="1" applyAlignment="1" applyProtection="1">
      <alignment horizontal="center"/>
      <protection locked="0"/>
    </xf>
    <xf numFmtId="0" fontId="3" fillId="0" borderId="8" xfId="0" applyFont="1" applyBorder="1" applyAlignment="1" applyProtection="1">
      <alignment horizontal="center"/>
      <protection locked="0"/>
    </xf>
    <xf numFmtId="0" fontId="3" fillId="5" borderId="1" xfId="0" applyFont="1" applyFill="1" applyBorder="1" applyAlignment="1">
      <alignment horizontal="left" vertical="center" wrapText="1"/>
    </xf>
    <xf numFmtId="0" fontId="6" fillId="0" borderId="2" xfId="0" applyFont="1" applyBorder="1" applyAlignment="1">
      <alignment horizontal="center" wrapText="1"/>
    </xf>
    <xf numFmtId="0" fontId="0" fillId="4" borderId="2" xfId="0" applyFill="1" applyBorder="1" applyAlignment="1">
      <alignment horizontal="left" vertical="center" wrapText="1"/>
    </xf>
    <xf numFmtId="0" fontId="3" fillId="5" borderId="2" xfId="0" applyFont="1" applyFill="1" applyBorder="1" applyAlignment="1">
      <alignment horizontal="left" vertical="center"/>
    </xf>
    <xf numFmtId="0" fontId="3" fillId="0" borderId="8" xfId="0" applyFont="1" applyBorder="1" applyAlignment="1">
      <alignment horizontal="center"/>
    </xf>
    <xf numFmtId="0" fontId="3" fillId="0" borderId="2" xfId="0" applyFont="1" applyBorder="1" applyAlignment="1">
      <alignment horizontal="center"/>
    </xf>
    <xf numFmtId="0" fontId="0" fillId="0" borderId="1" xfId="0" applyBorder="1"/>
    <xf numFmtId="0" fontId="0" fillId="0" borderId="1" xfId="0" applyBorder="1" applyAlignment="1">
      <alignment wrapText="1"/>
    </xf>
    <xf numFmtId="0" fontId="3" fillId="4" borderId="1" xfId="0" applyFont="1" applyFill="1" applyBorder="1" applyAlignment="1" applyProtection="1">
      <alignment horizontal="center" vertical="center" wrapText="1"/>
      <protection locked="0"/>
    </xf>
    <xf numFmtId="0" fontId="0" fillId="0" borderId="1" xfId="0" applyBorder="1" applyAlignment="1">
      <alignment vertical="center"/>
    </xf>
    <xf numFmtId="0" fontId="0" fillId="0" borderId="1" xfId="0" applyBorder="1" applyAlignment="1">
      <alignment vertical="center" wrapText="1"/>
    </xf>
    <xf numFmtId="0" fontId="7" fillId="0" borderId="1" xfId="0" applyFont="1" applyBorder="1" applyAlignment="1">
      <alignment horizontal="center" vertical="center" textRotation="90" wrapText="1"/>
    </xf>
    <xf numFmtId="0" fontId="3" fillId="0" borderId="1" xfId="0" applyFont="1" applyBorder="1" applyAlignment="1">
      <alignment horizontal="center" vertical="center" wrapText="1"/>
    </xf>
    <xf numFmtId="0" fontId="1" fillId="0" borderId="0" xfId="0" applyFont="1" applyAlignment="1">
      <alignment horizontal="left" vertical="top" wrapText="1"/>
    </xf>
    <xf numFmtId="0" fontId="1" fillId="0" borderId="0" xfId="0" applyFont="1" applyAlignment="1">
      <alignment horizontal="left" wrapText="1"/>
    </xf>
    <xf numFmtId="0" fontId="1" fillId="0" borderId="13" xfId="0" applyFont="1" applyBorder="1" applyAlignment="1">
      <alignment horizontal="center"/>
    </xf>
    <xf numFmtId="0" fontId="6" fillId="0" borderId="13" xfId="0" applyFont="1" applyBorder="1" applyAlignment="1">
      <alignment horizontal="center"/>
    </xf>
    <xf numFmtId="0" fontId="1" fillId="0" borderId="1" xfId="0" applyFont="1" applyBorder="1" applyAlignment="1">
      <alignment vertical="center" wrapText="1"/>
    </xf>
    <xf numFmtId="0" fontId="3" fillId="0" borderId="1" xfId="0" applyFont="1" applyBorder="1" applyAlignment="1">
      <alignment vertical="center" wrapText="1"/>
    </xf>
    <xf numFmtId="0" fontId="1" fillId="4" borderId="0" xfId="0" applyFont="1" applyFill="1" applyAlignment="1">
      <alignment horizontal="center"/>
    </xf>
    <xf numFmtId="0" fontId="3" fillId="4" borderId="0" xfId="0" applyFont="1" applyFill="1" applyAlignment="1" applyProtection="1">
      <alignment horizontal="center"/>
      <protection locked="0"/>
    </xf>
    <xf numFmtId="0" fontId="3" fillId="4" borderId="0" xfId="0" applyFont="1" applyFill="1" applyAlignment="1">
      <alignment horizontal="left" vertical="top" wrapText="1"/>
    </xf>
    <xf numFmtId="0" fontId="1" fillId="5" borderId="1" xfId="0" applyFont="1" applyFill="1" applyBorder="1" applyAlignment="1">
      <alignment horizontal="center" vertical="center" wrapText="1"/>
    </xf>
    <xf numFmtId="0" fontId="5" fillId="4" borderId="0" xfId="0" applyFont="1" applyFill="1" applyAlignment="1">
      <alignment horizontal="left" vertical="center"/>
    </xf>
    <xf numFmtId="0" fontId="5" fillId="4" borderId="0" xfId="0" applyFont="1" applyFill="1" applyAlignment="1">
      <alignment horizontal="right" vertical="center"/>
    </xf>
    <xf numFmtId="0" fontId="3" fillId="3" borderId="3" xfId="0" applyFont="1" applyFill="1" applyBorder="1" applyAlignment="1" applyProtection="1">
      <alignment horizontal="center" vertical="center"/>
      <protection locked="0"/>
    </xf>
    <xf numFmtId="0" fontId="3" fillId="3" borderId="4" xfId="0" applyFont="1" applyFill="1" applyBorder="1" applyAlignment="1">
      <alignment horizontal="right" vertical="center"/>
    </xf>
    <xf numFmtId="0" fontId="3" fillId="3" borderId="10" xfId="0" applyFont="1" applyFill="1" applyBorder="1" applyAlignment="1">
      <alignment horizontal="right" vertical="center"/>
    </xf>
    <xf numFmtId="0" fontId="3" fillId="3" borderId="0" xfId="0" applyFont="1" applyFill="1" applyAlignment="1">
      <alignment horizontal="right"/>
    </xf>
    <xf numFmtId="0" fontId="2" fillId="0" borderId="35" xfId="0" applyFont="1" applyBorder="1" applyAlignment="1">
      <alignment horizontal="left" vertical="center" wrapText="1"/>
    </xf>
    <xf numFmtId="0" fontId="2" fillId="0" borderId="14" xfId="0" applyFont="1" applyBorder="1" applyAlignment="1">
      <alignment horizontal="center" wrapText="1"/>
    </xf>
    <xf numFmtId="0" fontId="2" fillId="0" borderId="1" xfId="0" applyFont="1" applyBorder="1" applyAlignment="1">
      <alignment horizontal="center" wrapText="1"/>
    </xf>
    <xf numFmtId="0" fontId="2" fillId="0" borderId="16" xfId="0" applyFont="1" applyBorder="1" applyAlignment="1">
      <alignment horizontal="center" wrapText="1"/>
    </xf>
    <xf numFmtId="0" fontId="3" fillId="0" borderId="14" xfId="0" applyFont="1" applyBorder="1" applyAlignment="1">
      <alignment horizontal="center"/>
    </xf>
    <xf numFmtId="0" fontId="3" fillId="0" borderId="1" xfId="0" applyFont="1" applyBorder="1" applyAlignment="1">
      <alignment horizontal="center"/>
    </xf>
    <xf numFmtId="0" fontId="3" fillId="0" borderId="16" xfId="0" applyFont="1" applyBorder="1" applyAlignment="1">
      <alignment horizontal="center"/>
    </xf>
    <xf numFmtId="0" fontId="3" fillId="0" borderId="19" xfId="0" applyFont="1" applyBorder="1" applyAlignment="1">
      <alignment horizontal="center"/>
    </xf>
    <xf numFmtId="0" fontId="3" fillId="0" borderId="20" xfId="0" applyFont="1" applyBorder="1" applyAlignment="1">
      <alignment horizontal="center"/>
    </xf>
    <xf numFmtId="0" fontId="3" fillId="0" borderId="21" xfId="0" applyFont="1" applyBorder="1" applyAlignment="1">
      <alignment horizontal="center"/>
    </xf>
    <xf numFmtId="0" fontId="3" fillId="3" borderId="2" xfId="0" applyFont="1" applyFill="1" applyBorder="1" applyAlignment="1" applyProtection="1">
      <alignment horizontal="center" vertical="center" wrapText="1"/>
      <protection locked="0"/>
    </xf>
    <xf numFmtId="0" fontId="1" fillId="4" borderId="0" xfId="0" applyFont="1" applyFill="1" applyAlignment="1" applyProtection="1">
      <alignment horizontal="right" vertical="center" wrapText="1"/>
      <protection locked="0"/>
    </xf>
    <xf numFmtId="0" fontId="1" fillId="4" borderId="0" xfId="0" applyFont="1" applyFill="1" applyAlignment="1">
      <alignment horizontal="right" vertical="center"/>
    </xf>
    <xf numFmtId="0" fontId="6" fillId="4" borderId="0" xfId="0" applyFont="1" applyFill="1" applyAlignment="1">
      <alignment horizontal="right" vertical="center" wrapText="1"/>
    </xf>
    <xf numFmtId="0" fontId="3" fillId="0" borderId="1" xfId="0" applyFont="1" applyBorder="1" applyAlignment="1">
      <alignment vertical="center"/>
    </xf>
    <xf numFmtId="0" fontId="1" fillId="0" borderId="1" xfId="0" applyFont="1" applyBorder="1" applyAlignment="1">
      <alignment vertical="center"/>
    </xf>
    <xf numFmtId="0" fontId="3" fillId="3" borderId="1" xfId="0" applyFont="1" applyFill="1" applyBorder="1"/>
    <xf numFmtId="0" fontId="0" fillId="0" borderId="3" xfId="0" applyBorder="1" applyAlignment="1">
      <alignment horizontal="center" vertical="center"/>
    </xf>
    <xf numFmtId="0" fontId="22" fillId="0" borderId="14" xfId="0" applyFont="1" applyBorder="1" applyAlignment="1">
      <alignment horizontal="left" vertical="center" wrapText="1" indent="1"/>
    </xf>
    <xf numFmtId="0" fontId="22" fillId="0" borderId="33" xfId="0" applyFont="1" applyBorder="1" applyAlignment="1">
      <alignment horizontal="left" vertical="center" wrapText="1" indent="1"/>
    </xf>
    <xf numFmtId="0" fontId="19" fillId="4" borderId="0" xfId="0" applyFont="1" applyFill="1" applyAlignment="1" applyProtection="1">
      <alignment horizontal="center" vertical="center" wrapText="1"/>
      <protection locked="0"/>
    </xf>
    <xf numFmtId="0" fontId="3" fillId="3" borderId="1" xfId="0" applyFont="1" applyFill="1" applyBorder="1" applyAlignment="1">
      <alignment wrapText="1"/>
    </xf>
    <xf numFmtId="0" fontId="3" fillId="3" borderId="0" xfId="0" applyFont="1" applyFill="1" applyAlignment="1">
      <alignment wrapText="1"/>
    </xf>
    <xf numFmtId="0" fontId="4" fillId="0" borderId="1" xfId="0" applyFont="1" applyBorder="1" applyAlignment="1">
      <alignment wrapText="1"/>
    </xf>
    <xf numFmtId="0" fontId="4" fillId="3" borderId="1" xfId="0" applyFont="1" applyFill="1" applyBorder="1" applyAlignment="1">
      <alignment wrapText="1"/>
    </xf>
    <xf numFmtId="0" fontId="3" fillId="3" borderId="1" xfId="0" applyFont="1" applyFill="1" applyBorder="1" applyAlignment="1">
      <alignment vertical="center" wrapText="1"/>
    </xf>
    <xf numFmtId="0" fontId="5" fillId="6" borderId="1" xfId="0" applyFont="1" applyFill="1" applyBorder="1" applyAlignment="1" applyProtection="1">
      <alignment vertical="center"/>
      <protection locked="0"/>
    </xf>
    <xf numFmtId="1" fontId="1" fillId="0" borderId="1" xfId="0" applyNumberFormat="1" applyFont="1" applyBorder="1" applyAlignment="1">
      <alignment horizontal="center" textRotation="90" wrapText="1"/>
    </xf>
    <xf numFmtId="1" fontId="1" fillId="0" borderId="1" xfId="0" applyNumberFormat="1" applyFont="1" applyBorder="1" applyAlignment="1">
      <alignment horizontal="center"/>
    </xf>
    <xf numFmtId="17" fontId="5" fillId="4" borderId="0" xfId="0" applyNumberFormat="1" applyFont="1" applyFill="1" applyAlignment="1">
      <alignment horizontal="right" vertical="center"/>
    </xf>
    <xf numFmtId="0" fontId="5" fillId="4" borderId="0" xfId="0" applyFont="1" applyFill="1"/>
    <xf numFmtId="0" fontId="0" fillId="4" borderId="0" xfId="0" applyFill="1" applyAlignment="1">
      <alignment horizontal="center" vertical="center"/>
    </xf>
    <xf numFmtId="0" fontId="8" fillId="4" borderId="0" xfId="0" applyFont="1" applyFill="1" applyAlignment="1">
      <alignment vertical="center" wrapText="1"/>
    </xf>
    <xf numFmtId="0" fontId="3" fillId="0" borderId="6" xfId="0" applyFont="1" applyBorder="1" applyAlignment="1">
      <alignment horizontal="left" vertical="top"/>
    </xf>
    <xf numFmtId="0" fontId="3" fillId="0" borderId="1" xfId="0" applyFont="1" applyBorder="1" applyAlignment="1">
      <alignment horizontal="left" vertical="center"/>
    </xf>
    <xf numFmtId="0" fontId="3" fillId="3" borderId="1" xfId="0" applyFont="1" applyFill="1" applyBorder="1" applyAlignment="1">
      <alignment horizontal="left" vertical="center"/>
    </xf>
    <xf numFmtId="0" fontId="3" fillId="0" borderId="4" xfId="0" applyFont="1" applyBorder="1" applyAlignment="1">
      <alignment horizontal="left" vertical="center"/>
    </xf>
    <xf numFmtId="0" fontId="3" fillId="3" borderId="1" xfId="0" applyFont="1" applyFill="1" applyBorder="1" applyAlignment="1" applyProtection="1">
      <alignment horizontal="left" vertical="center"/>
      <protection locked="0"/>
    </xf>
    <xf numFmtId="0" fontId="3" fillId="0" borderId="9" xfId="0" applyFont="1" applyBorder="1" applyAlignment="1">
      <alignment horizontal="left"/>
    </xf>
    <xf numFmtId="0" fontId="3" fillId="0" borderId="5" xfId="0" applyFont="1" applyBorder="1" applyAlignment="1" applyProtection="1">
      <alignment horizontal="left" vertical="center"/>
      <protection locked="0"/>
    </xf>
    <xf numFmtId="0" fontId="3" fillId="3" borderId="5" xfId="0" applyFont="1" applyFill="1" applyBorder="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3" fillId="0" borderId="1" xfId="0" applyFont="1" applyBorder="1" applyAlignment="1">
      <alignment horizontal="left" vertical="top"/>
    </xf>
    <xf numFmtId="0" fontId="1" fillId="0" borderId="7" xfId="0" applyFont="1" applyBorder="1" applyAlignment="1">
      <alignment horizontal="left" vertical="top"/>
    </xf>
    <xf numFmtId="0" fontId="1" fillId="0" borderId="1" xfId="0" applyFont="1" applyBorder="1" applyAlignment="1" applyProtection="1">
      <alignment horizontal="left" vertical="center"/>
      <protection locked="0"/>
    </xf>
    <xf numFmtId="0" fontId="17" fillId="0" borderId="1" xfId="0" applyFont="1" applyBorder="1" applyAlignment="1">
      <alignment horizontal="left" vertical="center"/>
    </xf>
    <xf numFmtId="0" fontId="18" fillId="0" borderId="4" xfId="0" applyFont="1" applyBorder="1" applyAlignment="1">
      <alignment horizontal="left" vertical="center"/>
    </xf>
    <xf numFmtId="0" fontId="1" fillId="0" borderId="9" xfId="0" applyFont="1" applyBorder="1" applyAlignment="1">
      <alignment horizontal="left" vertical="center"/>
    </xf>
    <xf numFmtId="0" fontId="1" fillId="0" borderId="5" xfId="0" applyFont="1" applyBorder="1" applyAlignment="1" applyProtection="1">
      <alignment horizontal="left" vertical="center"/>
      <protection locked="0"/>
    </xf>
    <xf numFmtId="0" fontId="3" fillId="0" borderId="6" xfId="0" applyFont="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1" fillId="0" borderId="0" xfId="0" applyFont="1" applyAlignment="1" applyProtection="1">
      <alignment horizontal="left" vertical="center"/>
      <protection locked="0"/>
    </xf>
    <xf numFmtId="0" fontId="3" fillId="0" borderId="6" xfId="0" applyFont="1" applyBorder="1" applyAlignment="1">
      <alignment horizontal="left" vertical="center"/>
    </xf>
    <xf numFmtId="0" fontId="15" fillId="0" borderId="1" xfId="0" applyFont="1" applyBorder="1" applyAlignment="1">
      <alignment vertical="center"/>
    </xf>
    <xf numFmtId="49" fontId="3" fillId="0" borderId="1" xfId="0" applyNumberFormat="1" applyFont="1" applyBorder="1" applyAlignment="1" applyProtection="1">
      <alignment horizontal="left" vertical="center"/>
      <protection locked="0"/>
    </xf>
    <xf numFmtId="0" fontId="15" fillId="0" borderId="3" xfId="0" applyFont="1" applyBorder="1" applyAlignment="1">
      <alignment vertical="center"/>
    </xf>
    <xf numFmtId="49" fontId="3" fillId="0" borderId="5" xfId="0" applyNumberFormat="1" applyFont="1" applyBorder="1" applyAlignment="1" applyProtection="1">
      <alignment horizontal="left" vertical="center"/>
      <protection locked="0"/>
    </xf>
    <xf numFmtId="0" fontId="3" fillId="0" borderId="0" xfId="0" applyFont="1" applyAlignment="1">
      <alignment horizontal="left" vertical="top"/>
    </xf>
    <xf numFmtId="0" fontId="1" fillId="0" borderId="0" xfId="0" applyFont="1" applyAlignment="1">
      <alignment horizontal="right" vertical="top"/>
    </xf>
    <xf numFmtId="0" fontId="0" fillId="0" borderId="0" xfId="0" applyAlignment="1" applyProtection="1">
      <alignment horizontal="left" vertical="center"/>
      <protection locked="0"/>
    </xf>
    <xf numFmtId="0" fontId="6" fillId="0" borderId="0" xfId="0" applyFont="1" applyAlignment="1">
      <alignment horizontal="left" vertical="center"/>
    </xf>
    <xf numFmtId="0" fontId="19" fillId="3" borderId="0" xfId="0" applyFont="1" applyFill="1" applyAlignment="1" applyProtection="1">
      <alignment horizontal="left" vertical="center"/>
      <protection locked="0"/>
    </xf>
    <xf numFmtId="0" fontId="19" fillId="0" borderId="0" xfId="0" applyFont="1" applyAlignment="1" applyProtection="1">
      <alignment horizontal="left" vertical="center"/>
      <protection locked="0"/>
    </xf>
    <xf numFmtId="0" fontId="3" fillId="3" borderId="0" xfId="0" applyFont="1" applyFill="1" applyAlignment="1" applyProtection="1">
      <alignment horizontal="left" vertical="center"/>
      <protection locked="0"/>
    </xf>
    <xf numFmtId="49" fontId="5" fillId="4" borderId="0" xfId="0" applyNumberFormat="1" applyFont="1" applyFill="1" applyAlignment="1">
      <alignment vertical="center"/>
    </xf>
    <xf numFmtId="0" fontId="1" fillId="5" borderId="0" xfId="0" applyFont="1" applyFill="1" applyAlignment="1">
      <alignment horizontal="left" wrapText="1"/>
    </xf>
    <xf numFmtId="0" fontId="0" fillId="0" borderId="0" xfId="0" applyAlignment="1">
      <alignment vertical="center"/>
    </xf>
    <xf numFmtId="0" fontId="2" fillId="4" borderId="0" xfId="0" applyFont="1" applyFill="1" applyAlignment="1">
      <alignment horizontal="center" wrapText="1"/>
    </xf>
    <xf numFmtId="0" fontId="26" fillId="0" borderId="3" xfId="0" applyFont="1" applyBorder="1" applyAlignment="1">
      <alignment vertical="center" wrapText="1"/>
    </xf>
    <xf numFmtId="49" fontId="2" fillId="4" borderId="0" xfId="0" applyNumberFormat="1" applyFont="1" applyFill="1" applyAlignment="1">
      <alignment vertical="center"/>
    </xf>
    <xf numFmtId="17" fontId="2" fillId="4" borderId="0" xfId="0" applyNumberFormat="1" applyFont="1" applyFill="1" applyAlignment="1">
      <alignment horizontal="right" vertical="center"/>
    </xf>
    <xf numFmtId="0" fontId="2" fillId="4" borderId="0" xfId="0" applyFont="1" applyFill="1" applyAlignment="1">
      <alignment vertical="center" wrapText="1"/>
    </xf>
    <xf numFmtId="0" fontId="14" fillId="5" borderId="0" xfId="0" applyFont="1" applyFill="1" applyAlignment="1">
      <alignment vertical="center" wrapText="1"/>
    </xf>
    <xf numFmtId="0" fontId="14" fillId="4" borderId="0" xfId="0" applyFont="1" applyFill="1" applyAlignment="1">
      <alignment horizontal="center"/>
    </xf>
    <xf numFmtId="0" fontId="25" fillId="0" borderId="45" xfId="0" applyFont="1" applyBorder="1" applyAlignment="1">
      <alignment vertical="center" wrapText="1"/>
    </xf>
    <xf numFmtId="0" fontId="31" fillId="0" borderId="46" xfId="0" applyFont="1" applyBorder="1" applyAlignment="1">
      <alignment horizontal="left" vertical="center"/>
    </xf>
    <xf numFmtId="0" fontId="0" fillId="0" borderId="47" xfId="0" applyBorder="1" applyAlignment="1">
      <alignment horizontal="left" vertical="center"/>
    </xf>
    <xf numFmtId="0" fontId="0" fillId="0" borderId="48" xfId="0" applyBorder="1" applyAlignment="1">
      <alignment horizontal="left" vertical="center"/>
    </xf>
    <xf numFmtId="0" fontId="25" fillId="0" borderId="32" xfId="0" applyFont="1" applyBorder="1" applyAlignment="1">
      <alignment vertical="center" wrapText="1"/>
    </xf>
    <xf numFmtId="0" fontId="0" fillId="0" borderId="6" xfId="0" applyBorder="1" applyAlignment="1">
      <alignment horizontal="left" vertical="center"/>
    </xf>
    <xf numFmtId="0" fontId="0" fillId="0" borderId="15" xfId="0" applyBorder="1" applyAlignment="1">
      <alignment horizontal="left" vertical="center"/>
    </xf>
    <xf numFmtId="0" fontId="24" fillId="0" borderId="32" xfId="0" applyFont="1" applyBorder="1" applyAlignment="1">
      <alignment vertical="center" wrapText="1"/>
    </xf>
    <xf numFmtId="0" fontId="0" fillId="0" borderId="6" xfId="0" applyBorder="1" applyAlignment="1">
      <alignment horizontal="left" vertical="center" wrapText="1"/>
    </xf>
    <xf numFmtId="0" fontId="0" fillId="0" borderId="15" xfId="0" applyBorder="1" applyAlignment="1">
      <alignment horizontal="left" vertical="center" wrapText="1"/>
    </xf>
    <xf numFmtId="0" fontId="24" fillId="0" borderId="14" xfId="0" applyFont="1" applyBorder="1" applyAlignment="1">
      <alignment vertical="center" wrapText="1"/>
    </xf>
    <xf numFmtId="1" fontId="1" fillId="0" borderId="1" xfId="0" applyNumberFormat="1" applyFont="1" applyBorder="1" applyAlignment="1">
      <alignment horizontal="center" wrapText="1"/>
    </xf>
    <xf numFmtId="1" fontId="1" fillId="0" borderId="0" xfId="0" applyNumberFormat="1" applyFont="1" applyAlignment="1">
      <alignment horizontal="center"/>
    </xf>
    <xf numFmtId="0" fontId="3" fillId="3" borderId="1" xfId="0" applyFont="1" applyFill="1" applyBorder="1" applyAlignment="1">
      <alignment horizontal="center" vertical="center"/>
    </xf>
    <xf numFmtId="0" fontId="3" fillId="5" borderId="0" xfId="0" applyFont="1" applyFill="1" applyAlignment="1">
      <alignment horizontal="left" wrapText="1"/>
    </xf>
    <xf numFmtId="0" fontId="3" fillId="0" borderId="0" xfId="0" applyFont="1" applyAlignment="1" applyProtection="1">
      <alignment horizontal="center" vertical="center"/>
      <protection locked="0"/>
    </xf>
    <xf numFmtId="49" fontId="0" fillId="4" borderId="0" xfId="0" applyNumberFormat="1" applyFill="1" applyAlignment="1">
      <alignment vertical="center" wrapText="1"/>
    </xf>
    <xf numFmtId="0" fontId="1" fillId="0" borderId="6" xfId="0" applyFont="1" applyBorder="1" applyAlignment="1">
      <alignment horizontal="left" vertical="center" wrapText="1"/>
    </xf>
    <xf numFmtId="0" fontId="6" fillId="0" borderId="1" xfId="0" applyFont="1" applyBorder="1" applyAlignment="1">
      <alignment horizontal="left" wrapText="1"/>
    </xf>
    <xf numFmtId="0" fontId="17" fillId="0" borderId="1" xfId="0" applyFont="1" applyBorder="1" applyAlignment="1">
      <alignment horizontal="left" vertical="center" wrapText="1"/>
    </xf>
    <xf numFmtId="0" fontId="15" fillId="0" borderId="1" xfId="0" applyFont="1" applyBorder="1" applyAlignment="1">
      <alignment vertical="center" wrapText="1"/>
    </xf>
    <xf numFmtId="0" fontId="1" fillId="4" borderId="1" xfId="0" applyFont="1" applyFill="1" applyBorder="1" applyAlignment="1">
      <alignment horizontal="right" vertical="center" wrapText="1"/>
    </xf>
    <xf numFmtId="49" fontId="3" fillId="3" borderId="1" xfId="0" applyNumberFormat="1" applyFont="1" applyFill="1" applyBorder="1" applyAlignment="1" applyProtection="1">
      <alignment horizontal="center" vertical="center" wrapText="1"/>
      <protection locked="0"/>
    </xf>
    <xf numFmtId="0" fontId="1" fillId="4" borderId="1" xfId="0" applyFont="1" applyFill="1" applyBorder="1" applyAlignment="1">
      <alignment horizontal="center" vertical="center" textRotation="90"/>
    </xf>
    <xf numFmtId="0" fontId="1" fillId="4" borderId="1" xfId="0" applyFont="1" applyFill="1" applyBorder="1" applyAlignment="1">
      <alignment horizontal="center" vertical="top"/>
    </xf>
    <xf numFmtId="0" fontId="3" fillId="4" borderId="1" xfId="0" applyFont="1" applyFill="1" applyBorder="1" applyAlignment="1">
      <alignment horizontal="left" vertical="top" wrapText="1"/>
    </xf>
    <xf numFmtId="0" fontId="0" fillId="0" borderId="1" xfId="0" applyBorder="1" applyAlignment="1" applyProtection="1">
      <alignment horizontal="center" vertical="center" wrapText="1"/>
      <protection locked="0"/>
    </xf>
    <xf numFmtId="0" fontId="17" fillId="4" borderId="1" xfId="0" applyFont="1" applyFill="1" applyBorder="1" applyAlignment="1">
      <alignment horizontal="left" vertical="center" wrapText="1"/>
    </xf>
    <xf numFmtId="0" fontId="17" fillId="0" borderId="1" xfId="0" applyFont="1" applyBorder="1" applyAlignment="1">
      <alignment horizontal="center" vertical="center" wrapText="1"/>
    </xf>
    <xf numFmtId="0" fontId="1" fillId="4" borderId="1" xfId="0" applyFont="1" applyFill="1" applyBorder="1" applyAlignment="1">
      <alignment horizontal="left" vertical="center" wrapText="1"/>
    </xf>
    <xf numFmtId="0" fontId="5" fillId="4" borderId="1" xfId="0" applyFont="1" applyFill="1" applyBorder="1" applyAlignment="1">
      <alignment vertical="center"/>
    </xf>
    <xf numFmtId="0" fontId="9" fillId="4" borderId="1" xfId="0" applyFont="1" applyFill="1" applyBorder="1" applyAlignment="1">
      <alignment vertical="center"/>
    </xf>
    <xf numFmtId="49" fontId="9" fillId="4" borderId="1" xfId="0" applyNumberFormat="1" applyFont="1" applyFill="1" applyBorder="1" applyAlignment="1">
      <alignment vertical="center"/>
    </xf>
    <xf numFmtId="0" fontId="9" fillId="4" borderId="1" xfId="0" applyFont="1" applyFill="1" applyBorder="1" applyAlignment="1">
      <alignment horizontal="center" vertical="center"/>
    </xf>
    <xf numFmtId="0" fontId="9" fillId="6" borderId="1" xfId="0" applyFont="1" applyFill="1" applyBorder="1" applyAlignment="1" applyProtection="1">
      <alignment horizontal="left" vertical="center"/>
      <protection locked="0"/>
    </xf>
    <xf numFmtId="0" fontId="19" fillId="6" borderId="1" xfId="0" applyFont="1" applyFill="1" applyBorder="1" applyAlignment="1" applyProtection="1">
      <alignment horizontal="left" vertical="center"/>
      <protection locked="0"/>
    </xf>
    <xf numFmtId="0" fontId="5" fillId="6" borderId="1" xfId="0" applyFont="1" applyFill="1" applyBorder="1" applyAlignment="1">
      <alignment horizontal="center" wrapText="1"/>
    </xf>
    <xf numFmtId="0" fontId="5" fillId="6" borderId="1" xfId="0" applyFont="1" applyFill="1" applyBorder="1" applyAlignment="1">
      <alignment wrapText="1"/>
    </xf>
    <xf numFmtId="0" fontId="5" fillId="0" borderId="1" xfId="0" applyFont="1" applyBorder="1" applyAlignment="1">
      <alignment vertical="center"/>
    </xf>
    <xf numFmtId="1" fontId="9" fillId="0" borderId="1" xfId="0" applyNumberFormat="1" applyFont="1" applyBorder="1" applyAlignment="1">
      <alignment horizontal="center" vertical="center"/>
    </xf>
    <xf numFmtId="1" fontId="9" fillId="6" borderId="1" xfId="0" applyNumberFormat="1" applyFont="1" applyFill="1" applyBorder="1" applyAlignment="1">
      <alignment horizontal="center" vertical="center"/>
    </xf>
    <xf numFmtId="0" fontId="5" fillId="0" borderId="1" xfId="0" applyFont="1" applyBorder="1" applyAlignment="1">
      <alignment wrapText="1"/>
    </xf>
    <xf numFmtId="0" fontId="1" fillId="0" borderId="1" xfId="0" applyFont="1" applyBorder="1" applyAlignment="1">
      <alignment horizontal="center" wrapText="1"/>
    </xf>
    <xf numFmtId="0" fontId="2" fillId="6" borderId="1" xfId="0" applyFont="1" applyFill="1" applyBorder="1" applyAlignment="1">
      <alignment horizontal="center" vertical="center" textRotation="90" wrapText="1"/>
    </xf>
    <xf numFmtId="0" fontId="2" fillId="6" borderId="1" xfId="0" applyFont="1" applyFill="1" applyBorder="1" applyAlignment="1">
      <alignment horizontal="left" vertical="center" textRotation="90" wrapText="1"/>
    </xf>
    <xf numFmtId="1" fontId="2" fillId="6" borderId="1" xfId="0" applyNumberFormat="1" applyFont="1" applyFill="1" applyBorder="1" applyAlignment="1">
      <alignment horizontal="center" vertical="center" textRotation="90" wrapText="1"/>
    </xf>
    <xf numFmtId="0" fontId="2" fillId="6" borderId="1" xfId="0" applyFont="1" applyFill="1" applyBorder="1" applyAlignment="1">
      <alignment textRotation="90" wrapText="1"/>
    </xf>
    <xf numFmtId="0" fontId="2" fillId="4" borderId="1" xfId="0" applyFont="1" applyFill="1" applyBorder="1" applyAlignment="1">
      <alignment wrapText="1"/>
    </xf>
    <xf numFmtId="1" fontId="2" fillId="0" borderId="1" xfId="0" applyNumberFormat="1" applyFont="1" applyBorder="1" applyAlignment="1">
      <alignment horizontal="center" textRotation="90" wrapText="1"/>
    </xf>
    <xf numFmtId="1" fontId="2" fillId="0" borderId="1" xfId="0" applyNumberFormat="1" applyFont="1" applyBorder="1" applyAlignment="1">
      <alignment horizontal="left" textRotation="90" wrapText="1"/>
    </xf>
    <xf numFmtId="1" fontId="2" fillId="6" borderId="1" xfId="0" applyNumberFormat="1" applyFont="1" applyFill="1" applyBorder="1" applyAlignment="1">
      <alignment horizontal="left" textRotation="90" wrapText="1"/>
    </xf>
    <xf numFmtId="0" fontId="2" fillId="0" borderId="1" xfId="0" applyFont="1" applyBorder="1" applyAlignment="1">
      <alignment textRotation="90" wrapText="1"/>
    </xf>
    <xf numFmtId="0" fontId="2" fillId="0" borderId="1" xfId="0" applyFont="1" applyBorder="1" applyAlignment="1">
      <alignment wrapText="1"/>
    </xf>
    <xf numFmtId="0" fontId="1" fillId="0" borderId="1" xfId="0" applyFont="1" applyBorder="1" applyAlignment="1">
      <alignment horizontal="center" textRotation="90" wrapText="1"/>
    </xf>
    <xf numFmtId="0" fontId="3" fillId="6" borderId="1" xfId="0" applyFont="1" applyFill="1" applyBorder="1" applyAlignment="1" applyProtection="1">
      <alignment horizontal="left"/>
      <protection locked="0"/>
    </xf>
    <xf numFmtId="0" fontId="19" fillId="6" borderId="1" xfId="0" applyFont="1" applyFill="1" applyBorder="1" applyAlignment="1" applyProtection="1">
      <alignment horizontal="left"/>
      <protection locked="0"/>
    </xf>
    <xf numFmtId="0" fontId="3" fillId="6" borderId="1" xfId="0" applyFont="1" applyFill="1" applyBorder="1" applyAlignment="1">
      <alignment horizontal="center"/>
    </xf>
    <xf numFmtId="0" fontId="3" fillId="6" borderId="1" xfId="0" applyFont="1" applyFill="1" applyBorder="1"/>
    <xf numFmtId="0" fontId="0" fillId="4" borderId="1" xfId="0" applyFill="1" applyBorder="1"/>
    <xf numFmtId="1" fontId="3" fillId="0" borderId="1" xfId="0" applyNumberFormat="1" applyFont="1" applyBorder="1" applyAlignment="1">
      <alignment horizontal="center"/>
    </xf>
    <xf numFmtId="1" fontId="3" fillId="6" borderId="1" xfId="0" applyNumberFormat="1" applyFont="1" applyFill="1" applyBorder="1" applyAlignment="1">
      <alignment horizontal="center"/>
    </xf>
    <xf numFmtId="0" fontId="3" fillId="3" borderId="1" xfId="0" applyFont="1" applyFill="1" applyBorder="1" applyProtection="1">
      <protection locked="0"/>
    </xf>
    <xf numFmtId="49" fontId="3" fillId="3" borderId="1" xfId="0" applyNumberFormat="1" applyFont="1" applyFill="1" applyBorder="1" applyProtection="1">
      <protection locked="0"/>
    </xf>
    <xf numFmtId="0" fontId="3" fillId="3" borderId="1" xfId="0" applyFont="1" applyFill="1" applyBorder="1" applyAlignment="1">
      <alignment horizontal="center"/>
    </xf>
    <xf numFmtId="0" fontId="5" fillId="4" borderId="0" xfId="0" applyFont="1" applyFill="1" applyAlignment="1">
      <alignment horizontal="left" vertical="center" wrapText="1"/>
    </xf>
    <xf numFmtId="49" fontId="5" fillId="4" borderId="0" xfId="0" applyNumberFormat="1" applyFont="1" applyFill="1"/>
    <xf numFmtId="0" fontId="5" fillId="2" borderId="0" xfId="0" applyFont="1" applyFill="1"/>
    <xf numFmtId="0" fontId="3" fillId="2" borderId="0" xfId="0" applyFont="1" applyFill="1" applyAlignment="1">
      <alignment wrapText="1"/>
    </xf>
    <xf numFmtId="0" fontId="3" fillId="2" borderId="0" xfId="0" applyFont="1" applyFill="1"/>
    <xf numFmtId="0" fontId="3" fillId="2" borderId="0" xfId="0" applyFont="1" applyFill="1" applyAlignment="1">
      <alignment horizontal="center" vertical="top"/>
    </xf>
    <xf numFmtId="0" fontId="3" fillId="2" borderId="0" xfId="0" applyFont="1" applyFill="1" applyAlignment="1">
      <alignment horizontal="left" wrapText="1"/>
    </xf>
    <xf numFmtId="0" fontId="3" fillId="2" borderId="0" xfId="0" applyFont="1" applyFill="1" applyAlignment="1">
      <alignment horizontal="center" vertical="center"/>
    </xf>
    <xf numFmtId="0" fontId="2" fillId="3" borderId="1" xfId="0" applyFont="1" applyFill="1" applyBorder="1" applyAlignment="1">
      <alignment horizontal="center" textRotation="90" wrapText="1"/>
    </xf>
    <xf numFmtId="0" fontId="2" fillId="3" borderId="1" xfId="0" applyFont="1" applyFill="1" applyBorder="1" applyAlignment="1">
      <alignment horizontal="left" vertical="center" wrapText="1"/>
    </xf>
    <xf numFmtId="49" fontId="2" fillId="3" borderId="1" xfId="0" applyNumberFormat="1" applyFont="1" applyFill="1" applyBorder="1" applyAlignment="1">
      <alignment horizontal="left" vertical="center" wrapText="1"/>
    </xf>
    <xf numFmtId="0" fontId="3" fillId="3" borderId="1" xfId="0" applyFont="1" applyFill="1" applyBorder="1" applyAlignment="1" applyProtection="1">
      <alignment horizontal="center"/>
      <protection locked="0"/>
    </xf>
    <xf numFmtId="49" fontId="3" fillId="3" borderId="1" xfId="0" applyNumberFormat="1" applyFont="1" applyFill="1" applyBorder="1"/>
    <xf numFmtId="49" fontId="3" fillId="0" borderId="1" xfId="0" applyNumberFormat="1" applyFont="1" applyBorder="1"/>
    <xf numFmtId="0" fontId="3" fillId="4" borderId="1" xfId="0" applyFont="1" applyFill="1" applyBorder="1" applyAlignment="1">
      <alignment horizontal="center"/>
    </xf>
    <xf numFmtId="0" fontId="33" fillId="3" borderId="1" xfId="0" applyFont="1" applyFill="1" applyBorder="1"/>
    <xf numFmtId="0" fontId="1" fillId="4" borderId="0" xfId="0" applyFont="1" applyFill="1" applyAlignment="1">
      <alignment horizontal="center" vertical="center" textRotation="90" wrapText="1"/>
    </xf>
    <xf numFmtId="0" fontId="5" fillId="4" borderId="0" xfId="0" applyFont="1" applyFill="1" applyAlignment="1">
      <alignment horizontal="left" vertical="top"/>
    </xf>
    <xf numFmtId="0" fontId="29" fillId="5" borderId="0" xfId="0" applyFont="1" applyFill="1" applyAlignment="1">
      <alignment horizontal="left" wrapText="1"/>
    </xf>
    <xf numFmtId="0" fontId="28" fillId="4" borderId="0" xfId="0" applyFont="1" applyFill="1"/>
    <xf numFmtId="49" fontId="28" fillId="4" borderId="0" xfId="0" applyNumberFormat="1" applyFont="1" applyFill="1"/>
    <xf numFmtId="0" fontId="5" fillId="4" borderId="0" xfId="0" applyFont="1" applyFill="1" applyAlignment="1">
      <alignment vertical="center" wrapText="1"/>
    </xf>
    <xf numFmtId="0" fontId="5" fillId="4" borderId="0" xfId="0" applyFont="1" applyFill="1" applyAlignment="1">
      <alignment vertical="top"/>
    </xf>
    <xf numFmtId="49" fontId="2" fillId="4" borderId="0" xfId="0" applyNumberFormat="1" applyFont="1" applyFill="1"/>
    <xf numFmtId="17" fontId="5" fillId="4" borderId="0" xfId="0" applyNumberFormat="1" applyFont="1" applyFill="1" applyAlignment="1">
      <alignment vertical="top"/>
    </xf>
    <xf numFmtId="0" fontId="2" fillId="4" borderId="0" xfId="0" applyFont="1" applyFill="1"/>
    <xf numFmtId="0" fontId="1" fillId="5" borderId="0" xfId="0" applyFont="1" applyFill="1" applyAlignment="1">
      <alignment horizontal="left" vertical="center" wrapText="1"/>
    </xf>
    <xf numFmtId="0" fontId="1" fillId="5" borderId="1" xfId="0" applyFont="1" applyFill="1" applyBorder="1" applyAlignment="1">
      <alignment horizontal="left" vertical="center"/>
    </xf>
    <xf numFmtId="0" fontId="18" fillId="5" borderId="0" xfId="0" applyFont="1" applyFill="1" applyAlignment="1">
      <alignment horizontal="left" vertical="center" wrapText="1"/>
    </xf>
    <xf numFmtId="0" fontId="6" fillId="4" borderId="1" xfId="0" applyFont="1" applyFill="1" applyBorder="1" applyAlignment="1">
      <alignment horizontal="left" vertical="center" wrapText="1"/>
    </xf>
    <xf numFmtId="0" fontId="32" fillId="4" borderId="1" xfId="0" applyFont="1" applyFill="1" applyBorder="1" applyAlignment="1">
      <alignment horizontal="left" vertical="center" wrapText="1"/>
    </xf>
    <xf numFmtId="0" fontId="3" fillId="0" borderId="1" xfId="0" applyFont="1" applyBorder="1" applyAlignment="1" applyProtection="1">
      <alignment horizontal="center"/>
      <protection locked="0"/>
    </xf>
    <xf numFmtId="0" fontId="4" fillId="4" borderId="1" xfId="0" applyFont="1" applyFill="1" applyBorder="1" applyAlignment="1">
      <alignment horizontal="left" vertical="center" wrapText="1"/>
    </xf>
    <xf numFmtId="0" fontId="23" fillId="0" borderId="39" xfId="0" applyFont="1" applyBorder="1" applyAlignment="1">
      <alignment horizontal="left" vertical="center" wrapText="1" indent="1"/>
    </xf>
    <xf numFmtId="0" fontId="31" fillId="0" borderId="24" xfId="0" applyFont="1" applyBorder="1" applyAlignment="1" applyProtection="1">
      <alignment horizontal="left" vertical="center" wrapText="1" indent="1"/>
      <protection locked="0"/>
    </xf>
    <xf numFmtId="0" fontId="23" fillId="0" borderId="14" xfId="0" applyFont="1" applyBorder="1" applyAlignment="1">
      <alignment horizontal="left" vertical="center" wrapText="1" indent="1"/>
    </xf>
    <xf numFmtId="0" fontId="31" fillId="0" borderId="16" xfId="0" applyFont="1" applyBorder="1" applyAlignment="1" applyProtection="1">
      <alignment horizontal="left" vertical="center" wrapText="1" indent="1"/>
      <protection locked="0"/>
    </xf>
    <xf numFmtId="0" fontId="23" fillId="0" borderId="14" xfId="0" applyFont="1" applyBorder="1" applyAlignment="1">
      <alignment horizontal="left" vertical="center" wrapText="1"/>
    </xf>
    <xf numFmtId="0" fontId="31" fillId="0" borderId="16" xfId="0" applyFont="1" applyBorder="1" applyAlignment="1" applyProtection="1">
      <alignment horizontal="left" vertical="center" wrapText="1"/>
      <protection locked="0"/>
    </xf>
    <xf numFmtId="0" fontId="22" fillId="0" borderId="30" xfId="0" applyFont="1" applyBorder="1" applyAlignment="1">
      <alignment horizontal="left" vertical="center" wrapText="1" indent="1"/>
    </xf>
    <xf numFmtId="0" fontId="34" fillId="0" borderId="14" xfId="0" applyFont="1" applyBorder="1" applyAlignment="1">
      <alignment horizontal="left" vertical="center" wrapText="1" indent="1"/>
    </xf>
    <xf numFmtId="0" fontId="31" fillId="0" borderId="40" xfId="0" applyFont="1" applyBorder="1" applyAlignment="1" applyProtection="1">
      <alignment horizontal="left" vertical="center" wrapText="1" indent="1"/>
      <protection locked="0"/>
    </xf>
    <xf numFmtId="0" fontId="22" fillId="0" borderId="25" xfId="0" applyFont="1" applyBorder="1" applyAlignment="1">
      <alignment horizontal="left" vertical="center" wrapText="1" indent="1"/>
    </xf>
    <xf numFmtId="0" fontId="35" fillId="0" borderId="21" xfId="0" applyFont="1" applyBorder="1" applyAlignment="1">
      <alignment vertical="center" wrapText="1"/>
    </xf>
    <xf numFmtId="0" fontId="35" fillId="0" borderId="1" xfId="0" applyFont="1" applyBorder="1" applyAlignment="1">
      <alignment vertical="center" wrapText="1"/>
    </xf>
    <xf numFmtId="0" fontId="35" fillId="0" borderId="16" xfId="0" applyFont="1" applyBorder="1" applyAlignment="1">
      <alignment vertical="center" wrapText="1"/>
    </xf>
    <xf numFmtId="0" fontId="0" fillId="0" borderId="5" xfId="0" applyBorder="1" applyAlignment="1">
      <alignment horizontal="center" vertical="center"/>
    </xf>
    <xf numFmtId="0" fontId="1" fillId="0" borderId="7" xfId="0" applyFont="1" applyBorder="1" applyAlignment="1">
      <alignment horizontal="left" vertical="center"/>
    </xf>
    <xf numFmtId="0" fontId="3" fillId="0" borderId="7" xfId="0" applyFont="1" applyBorder="1" applyAlignment="1">
      <alignment horizontal="left" wrapText="1"/>
    </xf>
    <xf numFmtId="0" fontId="3" fillId="0" borderId="7" xfId="0" applyFont="1" applyBorder="1" applyAlignment="1" applyProtection="1">
      <alignment horizontal="left" vertical="center" wrapText="1"/>
      <protection locked="0"/>
    </xf>
    <xf numFmtId="0" fontId="3" fillId="3" borderId="7" xfId="0" applyFont="1" applyFill="1" applyBorder="1" applyAlignment="1" applyProtection="1">
      <alignment horizontal="left" vertical="center" wrapText="1"/>
      <protection locked="0"/>
    </xf>
    <xf numFmtId="0" fontId="0" fillId="0" borderId="7" xfId="0" applyBorder="1" applyAlignment="1">
      <alignment horizontal="center" vertical="center"/>
    </xf>
    <xf numFmtId="0" fontId="6" fillId="0" borderId="1" xfId="0" applyFont="1" applyBorder="1" applyAlignment="1">
      <alignment horizontal="left" vertical="center" wrapText="1"/>
    </xf>
    <xf numFmtId="0" fontId="32" fillId="0" borderId="1" xfId="0" applyFont="1" applyBorder="1" applyAlignment="1">
      <alignment horizontal="left" vertical="center" wrapText="1"/>
    </xf>
    <xf numFmtId="0" fontId="1" fillId="0" borderId="5" xfId="0" applyFont="1" applyBorder="1" applyAlignment="1">
      <alignment horizontal="center" vertical="center"/>
    </xf>
    <xf numFmtId="0" fontId="6" fillId="0" borderId="5" xfId="0" applyFont="1" applyBorder="1" applyAlignment="1">
      <alignment horizontal="left" vertical="center" wrapText="1"/>
    </xf>
    <xf numFmtId="0" fontId="1" fillId="0" borderId="1" xfId="0" applyFont="1" applyBorder="1" applyAlignment="1">
      <alignment horizontal="center" vertical="top"/>
    </xf>
    <xf numFmtId="0" fontId="22" fillId="0" borderId="1" xfId="0" applyFont="1" applyBorder="1" applyAlignment="1">
      <alignment horizontal="left" vertical="center" wrapText="1"/>
    </xf>
    <xf numFmtId="0" fontId="3" fillId="3" borderId="4" xfId="0" applyFont="1" applyFill="1" applyBorder="1" applyAlignment="1" applyProtection="1">
      <alignment horizontal="center" vertical="center" wrapText="1"/>
      <protection locked="0"/>
    </xf>
    <xf numFmtId="0" fontId="1" fillId="4" borderId="5" xfId="0" applyFont="1" applyFill="1" applyBorder="1" applyAlignment="1">
      <alignment horizontal="center" vertical="center"/>
    </xf>
    <xf numFmtId="0" fontId="3" fillId="4" borderId="5" xfId="0" applyFont="1" applyFill="1" applyBorder="1" applyAlignment="1">
      <alignment horizontal="left" vertical="center" wrapText="1"/>
    </xf>
    <xf numFmtId="0" fontId="1" fillId="4" borderId="3" xfId="0" applyFont="1" applyFill="1" applyBorder="1" applyAlignment="1">
      <alignment horizontal="left" vertical="center" wrapText="1"/>
    </xf>
    <xf numFmtId="0" fontId="1" fillId="4" borderId="6" xfId="0" applyFont="1" applyFill="1" applyBorder="1" applyAlignment="1">
      <alignment horizontal="center" vertical="center"/>
    </xf>
    <xf numFmtId="0" fontId="3" fillId="4" borderId="6" xfId="0" applyFont="1" applyFill="1" applyBorder="1" applyAlignment="1" applyProtection="1">
      <alignment horizontal="center" vertical="center" wrapText="1"/>
      <protection locked="0"/>
    </xf>
    <xf numFmtId="0" fontId="1" fillId="4" borderId="12" xfId="0" applyFont="1" applyFill="1" applyBorder="1" applyAlignment="1">
      <alignment horizontal="left" vertical="center" wrapText="1"/>
    </xf>
    <xf numFmtId="0" fontId="3" fillId="4" borderId="7" xfId="0" applyFont="1" applyFill="1" applyBorder="1" applyAlignment="1">
      <alignment horizontal="left" vertical="center" wrapText="1"/>
    </xf>
    <xf numFmtId="0" fontId="1" fillId="4" borderId="3" xfId="0" applyFont="1" applyFill="1" applyBorder="1" applyAlignment="1">
      <alignment horizontal="right" vertical="center"/>
    </xf>
    <xf numFmtId="0" fontId="2" fillId="4" borderId="12" xfId="0" applyFont="1" applyFill="1" applyBorder="1" applyAlignment="1">
      <alignment horizontal="left" vertical="center"/>
    </xf>
    <xf numFmtId="17" fontId="5" fillId="4" borderId="0" xfId="0" applyNumberFormat="1" applyFont="1" applyFill="1" applyAlignment="1">
      <alignment vertical="center" wrapText="1"/>
    </xf>
    <xf numFmtId="17" fontId="5" fillId="4" borderId="0" xfId="0" applyNumberFormat="1" applyFont="1" applyFill="1" applyAlignment="1">
      <alignment horizontal="right" vertical="center" wrapText="1"/>
    </xf>
    <xf numFmtId="17" fontId="5" fillId="4" borderId="0" xfId="0" applyNumberFormat="1" applyFont="1" applyFill="1" applyAlignment="1">
      <alignment horizontal="left" vertical="center"/>
    </xf>
    <xf numFmtId="0" fontId="2" fillId="0" borderId="1" xfId="0" applyFont="1" applyBorder="1"/>
    <xf numFmtId="0" fontId="1" fillId="0" borderId="13" xfId="0" applyFont="1" applyBorder="1" applyAlignment="1">
      <alignment horizontal="left"/>
    </xf>
    <xf numFmtId="0" fontId="6" fillId="0" borderId="13" xfId="0" applyFont="1" applyBorder="1" applyAlignment="1">
      <alignment horizontal="left"/>
    </xf>
    <xf numFmtId="0" fontId="6" fillId="4" borderId="0" xfId="0" applyFont="1" applyFill="1" applyAlignment="1" applyProtection="1">
      <alignment horizontal="left" vertical="top" wrapText="1"/>
      <protection locked="0"/>
    </xf>
    <xf numFmtId="0" fontId="0" fillId="0" borderId="0" xfId="0"/>
    <xf numFmtId="0" fontId="6" fillId="4" borderId="0" xfId="0" applyFont="1" applyFill="1" applyAlignment="1" applyProtection="1">
      <alignment vertical="top" wrapText="1"/>
      <protection locked="0"/>
    </xf>
    <xf numFmtId="0" fontId="0" fillId="0" borderId="0" xfId="0" applyProtection="1">
      <protection locked="0"/>
    </xf>
    <xf numFmtId="0" fontId="1" fillId="4" borderId="0" xfId="0" applyFont="1" applyFill="1" applyAlignment="1">
      <alignment textRotation="90" wrapText="1"/>
    </xf>
    <xf numFmtId="0" fontId="0" fillId="0" borderId="0" xfId="0" applyAlignment="1">
      <alignment textRotation="90" wrapText="1"/>
    </xf>
    <xf numFmtId="0" fontId="1" fillId="4" borderId="0" xfId="0" applyFont="1" applyFill="1" applyAlignment="1">
      <alignment vertical="top" wrapText="1"/>
    </xf>
    <xf numFmtId="0" fontId="0" fillId="0" borderId="0" xfId="0" applyAlignment="1">
      <alignment horizontal="left" vertical="top" wrapText="1"/>
    </xf>
    <xf numFmtId="0" fontId="3" fillId="4" borderId="0" xfId="0" applyFont="1" applyFill="1" applyAlignment="1">
      <alignment horizontal="left" vertical="center" wrapText="1"/>
    </xf>
    <xf numFmtId="0" fontId="0" fillId="0" borderId="0" xfId="0" applyAlignment="1">
      <alignment vertical="center" wrapText="1"/>
    </xf>
    <xf numFmtId="0" fontId="5" fillId="4" borderId="0" xfId="0" applyFont="1" applyFill="1" applyAlignment="1">
      <alignment horizontal="left" vertical="center" wrapText="1"/>
    </xf>
    <xf numFmtId="0" fontId="9" fillId="0" borderId="0" xfId="0" applyFont="1" applyAlignment="1">
      <alignment horizontal="left" vertical="center" wrapText="1"/>
    </xf>
    <xf numFmtId="0" fontId="0" fillId="4" borderId="0" xfId="0" applyFill="1" applyAlignment="1" applyProtection="1">
      <alignment wrapText="1"/>
      <protection locked="0"/>
    </xf>
    <xf numFmtId="0" fontId="1" fillId="4" borderId="0" xfId="0" applyFont="1" applyFill="1" applyAlignment="1" applyProtection="1">
      <alignment vertical="top" wrapText="1"/>
      <protection locked="0"/>
    </xf>
    <xf numFmtId="0" fontId="30" fillId="0" borderId="11" xfId="0" applyFont="1" applyBorder="1" applyAlignment="1">
      <alignment horizontal="center" vertical="center" wrapText="1"/>
    </xf>
    <xf numFmtId="0" fontId="0" fillId="0" borderId="41" xfId="0" applyBorder="1" applyAlignment="1">
      <alignment horizontal="center" vertical="center" wrapText="1"/>
    </xf>
    <xf numFmtId="0" fontId="0" fillId="0" borderId="18" xfId="0" applyBorder="1" applyAlignment="1">
      <alignment horizontal="center" vertical="center" wrapText="1"/>
    </xf>
    <xf numFmtId="0" fontId="21" fillId="0" borderId="42" xfId="0" applyFont="1" applyBorder="1" applyAlignment="1">
      <alignment horizontal="center" vertical="center" wrapText="1"/>
    </xf>
    <xf numFmtId="0" fontId="0" fillId="0" borderId="43" xfId="0" applyBorder="1" applyAlignment="1">
      <alignment horizontal="center" vertical="center" wrapText="1"/>
    </xf>
    <xf numFmtId="0" fontId="0" fillId="0" borderId="44" xfId="0" applyBorder="1" applyAlignment="1">
      <alignment horizontal="center" vertical="center" wrapText="1"/>
    </xf>
    <xf numFmtId="0" fontId="23" fillId="0" borderId="49" xfId="0" applyFont="1" applyBorder="1" applyAlignment="1">
      <alignment vertical="center" wrapText="1"/>
    </xf>
    <xf numFmtId="0" fontId="0" fillId="0" borderId="50" xfId="0" applyBorder="1" applyAlignment="1">
      <alignment vertical="center"/>
    </xf>
    <xf numFmtId="0" fontId="0" fillId="0" borderId="51" xfId="0" applyBorder="1" applyAlignment="1">
      <alignment vertical="center"/>
    </xf>
    <xf numFmtId="0" fontId="35" fillId="0" borderId="3" xfId="0" applyFont="1" applyBorder="1" applyAlignment="1">
      <alignment vertical="center" wrapText="1"/>
    </xf>
    <xf numFmtId="0" fontId="9" fillId="0" borderId="3" xfId="0" applyFont="1" applyBorder="1" applyAlignment="1">
      <alignment vertical="center" wrapText="1"/>
    </xf>
    <xf numFmtId="0" fontId="9" fillId="0" borderId="17" xfId="0" applyFont="1" applyBorder="1" applyAlignment="1">
      <alignment vertical="center" wrapText="1"/>
    </xf>
    <xf numFmtId="0" fontId="22" fillId="0" borderId="22" xfId="0" applyFont="1" applyBorder="1" applyAlignment="1">
      <alignment horizontal="center" vertical="center" wrapText="1"/>
    </xf>
    <xf numFmtId="0" fontId="22" fillId="0" borderId="23" xfId="0" applyFont="1" applyBorder="1" applyAlignment="1">
      <alignment horizontal="center" vertical="center" wrapText="1"/>
    </xf>
    <xf numFmtId="0" fontId="22" fillId="0" borderId="24" xfId="0" applyFont="1" applyBorder="1" applyAlignment="1">
      <alignment horizontal="center" vertical="center" wrapText="1"/>
    </xf>
    <xf numFmtId="0" fontId="27" fillId="0" borderId="26" xfId="0" applyFont="1" applyBorder="1" applyAlignment="1">
      <alignment horizontal="center" vertical="center"/>
    </xf>
    <xf numFmtId="0" fontId="27" fillId="0" borderId="27" xfId="0" applyFont="1" applyBorder="1" applyAlignment="1">
      <alignment horizontal="center" vertical="center"/>
    </xf>
    <xf numFmtId="0" fontId="27" fillId="0" borderId="28" xfId="0" applyFont="1" applyBorder="1" applyAlignment="1">
      <alignment horizontal="center" vertical="center"/>
    </xf>
    <xf numFmtId="0" fontId="36" fillId="0" borderId="11" xfId="0" applyFont="1" applyBorder="1" applyAlignment="1">
      <alignment horizontal="center" vertical="center" wrapText="1"/>
    </xf>
    <xf numFmtId="0" fontId="37" fillId="0" borderId="18" xfId="0" applyFont="1" applyBorder="1" applyAlignment="1">
      <alignment horizontal="center" vertical="center" wrapText="1"/>
    </xf>
    <xf numFmtId="0" fontId="38" fillId="0" borderId="18" xfId="0" applyFont="1" applyBorder="1" applyAlignment="1">
      <alignment horizontal="center" vertical="center" wrapText="1"/>
    </xf>
    <xf numFmtId="0" fontId="1" fillId="4" borderId="9" xfId="0" applyFont="1" applyFill="1" applyBorder="1" applyAlignment="1">
      <alignment horizontal="center" vertical="center" wrapText="1"/>
    </xf>
    <xf numFmtId="0" fontId="0" fillId="0" borderId="7" xfId="0" applyBorder="1" applyAlignment="1">
      <alignment horizontal="center" wrapText="1"/>
    </xf>
    <xf numFmtId="0" fontId="5" fillId="0" borderId="22" xfId="0" applyFont="1" applyBorder="1" applyAlignment="1">
      <alignment horizontal="center" wrapText="1"/>
    </xf>
    <xf numFmtId="0" fontId="9" fillId="0" borderId="23" xfId="0" applyFont="1" applyBorder="1" applyAlignment="1">
      <alignment horizontal="center" wrapText="1"/>
    </xf>
    <xf numFmtId="0" fontId="9" fillId="0" borderId="29" xfId="0" applyFont="1" applyBorder="1" applyAlignment="1">
      <alignment horizontal="center" wrapText="1"/>
    </xf>
    <xf numFmtId="0" fontId="9" fillId="0" borderId="24" xfId="0" applyFont="1" applyBorder="1" applyAlignment="1">
      <alignment horizontal="center" wrapText="1"/>
    </xf>
    <xf numFmtId="0" fontId="1" fillId="0" borderId="13" xfId="0" applyFont="1" applyBorder="1" applyAlignment="1">
      <alignment wrapText="1"/>
    </xf>
  </cellXfs>
  <cellStyles count="1">
    <cellStyle name="Normal" xfId="0" builtinId="0"/>
  </cellStyles>
  <dxfs count="0"/>
  <tableStyles count="0" defaultTableStyle="TableStyleMedium9" defaultPivotStyle="PivotStyleLight16"/>
  <colors>
    <mruColors>
      <color rgb="FFFF99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6.emf"/><Relationship Id="rId1" Type="http://schemas.openxmlformats.org/officeDocument/2006/relationships/image" Target="../media/image7.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4.emf"/><Relationship Id="rId1" Type="http://schemas.openxmlformats.org/officeDocument/2006/relationships/image" Target="../media/image15.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19.emf"/><Relationship Id="rId2" Type="http://schemas.openxmlformats.org/officeDocument/2006/relationships/image" Target="../media/image18.emf"/><Relationship Id="rId1" Type="http://schemas.openxmlformats.org/officeDocument/2006/relationships/image" Target="../media/image17.emf"/></Relationships>
</file>

<file path=xl/drawings/_rels/vmlDrawing12.vml.rels><?xml version="1.0" encoding="UTF-8" standalone="yes"?>
<Relationships xmlns="http://schemas.openxmlformats.org/package/2006/relationships"><Relationship Id="rId2" Type="http://schemas.openxmlformats.org/officeDocument/2006/relationships/image" Target="../media/image21.emf"/><Relationship Id="rId1" Type="http://schemas.openxmlformats.org/officeDocument/2006/relationships/image" Target="../media/image20.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7620</xdr:colOff>
          <xdr:row>0</xdr:row>
          <xdr:rowOff>7620</xdr:rowOff>
        </xdr:from>
        <xdr:to>
          <xdr:col>5</xdr:col>
          <xdr:colOff>960120</xdr:colOff>
          <xdr:row>0</xdr:row>
          <xdr:rowOff>502920</xdr:rowOff>
        </xdr:to>
        <xdr:sp macro="" textlink="">
          <xdr:nvSpPr>
            <xdr:cNvPr id="2049" name="CommandButton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312420</xdr:colOff>
          <xdr:row>1</xdr:row>
          <xdr:rowOff>609600</xdr:rowOff>
        </xdr:from>
        <xdr:to>
          <xdr:col>3</xdr:col>
          <xdr:colOff>266700</xdr:colOff>
          <xdr:row>1</xdr:row>
          <xdr:rowOff>1318260</xdr:rowOff>
        </xdr:to>
        <xdr:sp macro="" textlink="">
          <xdr:nvSpPr>
            <xdr:cNvPr id="2052" name="TextBox1"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7620</xdr:colOff>
          <xdr:row>1</xdr:row>
          <xdr:rowOff>0</xdr:rowOff>
        </xdr:from>
        <xdr:to>
          <xdr:col>9</xdr:col>
          <xdr:colOff>1242060</xdr:colOff>
          <xdr:row>2</xdr:row>
          <xdr:rowOff>228600</xdr:rowOff>
        </xdr:to>
        <xdr:sp macro="" textlink="">
          <xdr:nvSpPr>
            <xdr:cNvPr id="3073" name="CommandButton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121920</xdr:colOff>
          <xdr:row>0</xdr:row>
          <xdr:rowOff>0</xdr:rowOff>
        </xdr:from>
        <xdr:to>
          <xdr:col>11</xdr:col>
          <xdr:colOff>297180</xdr:colOff>
          <xdr:row>1</xdr:row>
          <xdr:rowOff>144780</xdr:rowOff>
        </xdr:to>
        <xdr:sp macro="" textlink="">
          <xdr:nvSpPr>
            <xdr:cNvPr id="4097" name="CommandButton1" hidden="1">
              <a:extLst>
                <a:ext uri="{63B3BB69-23CF-44E3-9099-C40C66FF867C}">
                  <a14:compatExt spid="_x0000_s4097"/>
                </a:ext>
                <a:ext uri="{FF2B5EF4-FFF2-40B4-BE49-F238E27FC236}">
                  <a16:creationId xmlns:a16="http://schemas.microsoft.com/office/drawing/2014/main" id="{00000000-0008-0000-04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0</xdr:colOff>
          <xdr:row>0</xdr:row>
          <xdr:rowOff>144780</xdr:rowOff>
        </xdr:from>
        <xdr:to>
          <xdr:col>10</xdr:col>
          <xdr:colOff>1668780</xdr:colOff>
          <xdr:row>1</xdr:row>
          <xdr:rowOff>228600</xdr:rowOff>
        </xdr:to>
        <xdr:sp macro="" textlink="">
          <xdr:nvSpPr>
            <xdr:cNvPr id="21505" name="CommandButton1" hidden="1">
              <a:extLst>
                <a:ext uri="{63B3BB69-23CF-44E3-9099-C40C66FF867C}">
                  <a14:compatExt spid="_x0000_s21505"/>
                </a:ext>
                <a:ext uri="{FF2B5EF4-FFF2-40B4-BE49-F238E27FC236}">
                  <a16:creationId xmlns:a16="http://schemas.microsoft.com/office/drawing/2014/main" id="{00000000-0008-0000-0500-00000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45720</xdr:colOff>
          <xdr:row>1</xdr:row>
          <xdr:rowOff>297180</xdr:rowOff>
        </xdr:from>
        <xdr:to>
          <xdr:col>10</xdr:col>
          <xdr:colOff>1714500</xdr:colOff>
          <xdr:row>2</xdr:row>
          <xdr:rowOff>220980</xdr:rowOff>
        </xdr:to>
        <xdr:sp macro="" textlink="">
          <xdr:nvSpPr>
            <xdr:cNvPr id="21507" name="CommandButton2" hidden="1">
              <a:extLst>
                <a:ext uri="{63B3BB69-23CF-44E3-9099-C40C66FF867C}">
                  <a14:compatExt spid="_x0000_s21507"/>
                </a:ext>
                <a:ext uri="{FF2B5EF4-FFF2-40B4-BE49-F238E27FC236}">
                  <a16:creationId xmlns:a16="http://schemas.microsoft.com/office/drawing/2014/main" id="{00000000-0008-0000-0500-00000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30480</xdr:colOff>
          <xdr:row>2</xdr:row>
          <xdr:rowOff>266700</xdr:rowOff>
        </xdr:from>
        <xdr:to>
          <xdr:col>10</xdr:col>
          <xdr:colOff>1699260</xdr:colOff>
          <xdr:row>4</xdr:row>
          <xdr:rowOff>30480</xdr:rowOff>
        </xdr:to>
        <xdr:sp macro="" textlink="">
          <xdr:nvSpPr>
            <xdr:cNvPr id="21508" name="CommandButton3" hidden="1">
              <a:extLst>
                <a:ext uri="{63B3BB69-23CF-44E3-9099-C40C66FF867C}">
                  <a14:compatExt spid="_x0000_s21508"/>
                </a:ext>
                <a:ext uri="{FF2B5EF4-FFF2-40B4-BE49-F238E27FC236}">
                  <a16:creationId xmlns:a16="http://schemas.microsoft.com/office/drawing/2014/main" id="{00000000-0008-0000-0500-000004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68580</xdr:colOff>
          <xdr:row>1</xdr:row>
          <xdr:rowOff>0</xdr:rowOff>
        </xdr:from>
        <xdr:to>
          <xdr:col>12</xdr:col>
          <xdr:colOff>495300</xdr:colOff>
          <xdr:row>2</xdr:row>
          <xdr:rowOff>114300</xdr:rowOff>
        </xdr:to>
        <xdr:sp macro="" textlink="">
          <xdr:nvSpPr>
            <xdr:cNvPr id="6145" name="CommandButton1" hidden="1">
              <a:extLst>
                <a:ext uri="{63B3BB69-23CF-44E3-9099-C40C66FF867C}">
                  <a14:compatExt spid="_x0000_s6145"/>
                </a:ext>
                <a:ext uri="{FF2B5EF4-FFF2-40B4-BE49-F238E27FC236}">
                  <a16:creationId xmlns:a16="http://schemas.microsoft.com/office/drawing/2014/main" id="{00000000-0008-0000-06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30480</xdr:colOff>
          <xdr:row>2</xdr:row>
          <xdr:rowOff>114300</xdr:rowOff>
        </xdr:from>
        <xdr:to>
          <xdr:col>12</xdr:col>
          <xdr:colOff>457200</xdr:colOff>
          <xdr:row>4</xdr:row>
          <xdr:rowOff>7620</xdr:rowOff>
        </xdr:to>
        <xdr:sp macro="" textlink="">
          <xdr:nvSpPr>
            <xdr:cNvPr id="6147" name="CommandButton3" hidden="1">
              <a:extLst>
                <a:ext uri="{63B3BB69-23CF-44E3-9099-C40C66FF867C}">
                  <a14:compatExt spid="_x0000_s6147"/>
                </a:ext>
                <a:ext uri="{FF2B5EF4-FFF2-40B4-BE49-F238E27FC236}">
                  <a16:creationId xmlns:a16="http://schemas.microsoft.com/office/drawing/2014/main" id="{00000000-0008-0000-0600-00000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190500</xdr:colOff>
          <xdr:row>0</xdr:row>
          <xdr:rowOff>38100</xdr:rowOff>
        </xdr:from>
        <xdr:to>
          <xdr:col>12</xdr:col>
          <xdr:colOff>807720</xdr:colOff>
          <xdr:row>1</xdr:row>
          <xdr:rowOff>144780</xdr:rowOff>
        </xdr:to>
        <xdr:sp macro="" textlink="">
          <xdr:nvSpPr>
            <xdr:cNvPr id="7169" name="CommandButton1" hidden="1">
              <a:extLst>
                <a:ext uri="{63B3BB69-23CF-44E3-9099-C40C66FF867C}">
                  <a14:compatExt spid="_x0000_s7169"/>
                </a:ext>
                <a:ext uri="{FF2B5EF4-FFF2-40B4-BE49-F238E27FC236}">
                  <a16:creationId xmlns:a16="http://schemas.microsoft.com/office/drawing/2014/main" id="{00000000-0008-0000-07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297180</xdr:colOff>
          <xdr:row>0</xdr:row>
          <xdr:rowOff>38100</xdr:rowOff>
        </xdr:from>
        <xdr:to>
          <xdr:col>10</xdr:col>
          <xdr:colOff>655320</xdr:colOff>
          <xdr:row>1</xdr:row>
          <xdr:rowOff>106680</xdr:rowOff>
        </xdr:to>
        <xdr:sp macro="" textlink="">
          <xdr:nvSpPr>
            <xdr:cNvPr id="8193" name="CommandButton1" hidden="1">
              <a:extLst>
                <a:ext uri="{63B3BB69-23CF-44E3-9099-C40C66FF867C}">
                  <a14:compatExt spid="_x0000_s8193"/>
                </a:ext>
                <a:ext uri="{FF2B5EF4-FFF2-40B4-BE49-F238E27FC236}">
                  <a16:creationId xmlns:a16="http://schemas.microsoft.com/office/drawing/2014/main" id="{00000000-0008-0000-0800-00000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297180</xdr:colOff>
          <xdr:row>0</xdr:row>
          <xdr:rowOff>38100</xdr:rowOff>
        </xdr:from>
        <xdr:to>
          <xdr:col>13</xdr:col>
          <xdr:colOff>22860</xdr:colOff>
          <xdr:row>0</xdr:row>
          <xdr:rowOff>655320</xdr:rowOff>
        </xdr:to>
        <xdr:sp macro="" textlink="">
          <xdr:nvSpPr>
            <xdr:cNvPr id="22529" name="CommandButton1" hidden="1">
              <a:extLst>
                <a:ext uri="{63B3BB69-23CF-44E3-9099-C40C66FF867C}">
                  <a14:compatExt spid="_x0000_s22529"/>
                </a:ext>
                <a:ext uri="{FF2B5EF4-FFF2-40B4-BE49-F238E27FC236}">
                  <a16:creationId xmlns:a16="http://schemas.microsoft.com/office/drawing/2014/main" id="{00000000-0008-0000-09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38100</xdr:colOff>
          <xdr:row>0</xdr:row>
          <xdr:rowOff>0</xdr:rowOff>
        </xdr:from>
        <xdr:to>
          <xdr:col>12</xdr:col>
          <xdr:colOff>525780</xdr:colOff>
          <xdr:row>2</xdr:row>
          <xdr:rowOff>30480</xdr:rowOff>
        </xdr:to>
        <xdr:sp macro="" textlink="">
          <xdr:nvSpPr>
            <xdr:cNvPr id="9217" name="CommandButton1" hidden="1">
              <a:extLst>
                <a:ext uri="{63B3BB69-23CF-44E3-9099-C40C66FF867C}">
                  <a14:compatExt spid="_x0000_s9217"/>
                </a:ext>
                <a:ext uri="{FF2B5EF4-FFF2-40B4-BE49-F238E27FC236}">
                  <a16:creationId xmlns:a16="http://schemas.microsoft.com/office/drawing/2014/main" id="{00000000-0008-0000-0A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525780</xdr:colOff>
          <xdr:row>0</xdr:row>
          <xdr:rowOff>0</xdr:rowOff>
        </xdr:from>
        <xdr:to>
          <xdr:col>15</xdr:col>
          <xdr:colOff>22860</xdr:colOff>
          <xdr:row>2</xdr:row>
          <xdr:rowOff>30480</xdr:rowOff>
        </xdr:to>
        <xdr:sp macro="" textlink="">
          <xdr:nvSpPr>
            <xdr:cNvPr id="9218" name="CommandButton2" hidden="1">
              <a:extLst>
                <a:ext uri="{63B3BB69-23CF-44E3-9099-C40C66FF867C}">
                  <a14:compatExt spid="_x0000_s9218"/>
                </a:ext>
                <a:ext uri="{FF2B5EF4-FFF2-40B4-BE49-F238E27FC236}">
                  <a16:creationId xmlns:a16="http://schemas.microsoft.com/office/drawing/2014/main" id="{00000000-0008-0000-0A00-000002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7620</xdr:colOff>
          <xdr:row>0</xdr:row>
          <xdr:rowOff>0</xdr:rowOff>
        </xdr:from>
        <xdr:to>
          <xdr:col>17</xdr:col>
          <xdr:colOff>114300</xdr:colOff>
          <xdr:row>2</xdr:row>
          <xdr:rowOff>30480</xdr:rowOff>
        </xdr:to>
        <xdr:sp macro="" textlink="">
          <xdr:nvSpPr>
            <xdr:cNvPr id="9219" name="CommandButton3" hidden="1">
              <a:extLst>
                <a:ext uri="{63B3BB69-23CF-44E3-9099-C40C66FF867C}">
                  <a14:compatExt spid="_x0000_s9219"/>
                </a:ext>
                <a:ext uri="{FF2B5EF4-FFF2-40B4-BE49-F238E27FC236}">
                  <a16:creationId xmlns:a16="http://schemas.microsoft.com/office/drawing/2014/main" id="{00000000-0008-0000-0A00-000003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68580</xdr:colOff>
          <xdr:row>4</xdr:row>
          <xdr:rowOff>114300</xdr:rowOff>
        </xdr:from>
        <xdr:to>
          <xdr:col>4</xdr:col>
          <xdr:colOff>22860</xdr:colOff>
          <xdr:row>6</xdr:row>
          <xdr:rowOff>152400</xdr:rowOff>
        </xdr:to>
        <xdr:sp macro="" textlink="">
          <xdr:nvSpPr>
            <xdr:cNvPr id="72708" name="CommandButton2" hidden="1">
              <a:extLst>
                <a:ext uri="{63B3BB69-23CF-44E3-9099-C40C66FF867C}">
                  <a14:compatExt spid="_x0000_s72708"/>
                </a:ext>
                <a:ext uri="{FF2B5EF4-FFF2-40B4-BE49-F238E27FC236}">
                  <a16:creationId xmlns:a16="http://schemas.microsoft.com/office/drawing/2014/main" id="{00000000-0008-0000-0C00-0000041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8</xdr:col>
      <xdr:colOff>0</xdr:colOff>
      <xdr:row>1</xdr:row>
      <xdr:rowOff>209550</xdr:rowOff>
    </xdr:from>
    <xdr:to>
      <xdr:col>9</xdr:col>
      <xdr:colOff>1030514</xdr:colOff>
      <xdr:row>2</xdr:row>
      <xdr:rowOff>457201</xdr:rowOff>
    </xdr:to>
    <xdr:sp macro="" textlink="">
      <xdr:nvSpPr>
        <xdr:cNvPr id="2" name="CommandButton1" hidden="1">
          <a:extLst>
            <a:ext uri="{63B3BB69-23CF-44E3-9099-C40C66FF867C}">
              <a14:compatExt xmlns:a14="http://schemas.microsoft.com/office/drawing/2010/main" spid="_x0000_s16385"/>
            </a:ext>
            <a:ext uri="{FF2B5EF4-FFF2-40B4-BE49-F238E27FC236}">
              <a16:creationId xmlns:a16="http://schemas.microsoft.com/office/drawing/2014/main" id="{00000000-0008-0000-0D00-000002000000}"/>
            </a:ext>
          </a:extLst>
        </xdr:cNvPr>
        <xdr:cNvSpPr/>
      </xdr:nvSpPr>
      <xdr:spPr bwMode="auto">
        <a:xfrm>
          <a:off x="15354300" y="790575"/>
          <a:ext cx="1657350" cy="5715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LocksWithSheet="0"/>
  </xdr:twoCellAnchor>
  <mc:AlternateContent xmlns:mc="http://schemas.openxmlformats.org/markup-compatibility/2006">
    <mc:Choice xmlns:a14="http://schemas.microsoft.com/office/drawing/2010/main" Requires="a14">
      <xdr:twoCellAnchor editAs="oneCell">
        <xdr:from>
          <xdr:col>4</xdr:col>
          <xdr:colOff>160020</xdr:colOff>
          <xdr:row>1</xdr:row>
          <xdr:rowOff>259080</xdr:rowOff>
        </xdr:from>
        <xdr:to>
          <xdr:col>4</xdr:col>
          <xdr:colOff>1935480</xdr:colOff>
          <xdr:row>3</xdr:row>
          <xdr:rowOff>0</xdr:rowOff>
        </xdr:to>
        <xdr:sp macro="" textlink="">
          <xdr:nvSpPr>
            <xdr:cNvPr id="51207" name="CommandButton5" hidden="1">
              <a:extLst>
                <a:ext uri="{63B3BB69-23CF-44E3-9099-C40C66FF867C}">
                  <a14:compatExt spid="_x0000_s51207"/>
                </a:ext>
                <a:ext uri="{FF2B5EF4-FFF2-40B4-BE49-F238E27FC236}">
                  <a16:creationId xmlns:a16="http://schemas.microsoft.com/office/drawing/2014/main" id="{00000000-0008-0000-0D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236220</xdr:colOff>
          <xdr:row>3</xdr:row>
          <xdr:rowOff>457200</xdr:rowOff>
        </xdr:from>
        <xdr:to>
          <xdr:col>4</xdr:col>
          <xdr:colOff>1981200</xdr:colOff>
          <xdr:row>4</xdr:row>
          <xdr:rowOff>571500</xdr:rowOff>
        </xdr:to>
        <xdr:sp macro="" textlink="">
          <xdr:nvSpPr>
            <xdr:cNvPr id="51208" name="CommandButton6" hidden="1">
              <a:extLst>
                <a:ext uri="{63B3BB69-23CF-44E3-9099-C40C66FF867C}">
                  <a14:compatExt spid="_x0000_s51208"/>
                </a:ext>
                <a:ext uri="{FF2B5EF4-FFF2-40B4-BE49-F238E27FC236}">
                  <a16:creationId xmlns:a16="http://schemas.microsoft.com/office/drawing/2014/main" id="{00000000-0008-0000-0D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312420</xdr:colOff>
          <xdr:row>4</xdr:row>
          <xdr:rowOff>716280</xdr:rowOff>
        </xdr:from>
        <xdr:to>
          <xdr:col>5</xdr:col>
          <xdr:colOff>38100</xdr:colOff>
          <xdr:row>5</xdr:row>
          <xdr:rowOff>685800</xdr:rowOff>
        </xdr:to>
        <xdr:sp macro="" textlink="">
          <xdr:nvSpPr>
            <xdr:cNvPr id="51209" name="CommandButton7" hidden="1">
              <a:extLst>
                <a:ext uri="{63B3BB69-23CF-44E3-9099-C40C66FF867C}">
                  <a14:compatExt spid="_x0000_s51209"/>
                </a:ext>
                <a:ext uri="{FF2B5EF4-FFF2-40B4-BE49-F238E27FC236}">
                  <a16:creationId xmlns:a16="http://schemas.microsoft.com/office/drawing/2014/main" id="{00000000-0008-0000-0D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8</xdr:col>
      <xdr:colOff>0</xdr:colOff>
      <xdr:row>2</xdr:row>
      <xdr:rowOff>209550</xdr:rowOff>
    </xdr:from>
    <xdr:ext cx="1665514" cy="574489"/>
    <xdr:sp macro="" textlink="">
      <xdr:nvSpPr>
        <xdr:cNvPr id="6" name="CommandButton1" hidden="1">
          <a:extLst>
            <a:ext uri="{63B3BB69-23CF-44E3-9099-C40C66FF867C}">
              <a14:compatExt xmlns:a14="http://schemas.microsoft.com/office/drawing/2010/main" spid="_x0000_s16385"/>
            </a:ext>
            <a:ext uri="{FF2B5EF4-FFF2-40B4-BE49-F238E27FC236}">
              <a16:creationId xmlns:a16="http://schemas.microsoft.com/office/drawing/2014/main" id="{00000000-0008-0000-0D00-000006000000}"/>
            </a:ext>
          </a:extLst>
        </xdr:cNvPr>
        <xdr:cNvSpPr/>
      </xdr:nvSpPr>
      <xdr:spPr bwMode="auto">
        <a:xfrm>
          <a:off x="16958235" y="1152712"/>
          <a:ext cx="1665514" cy="57448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LocksWithSheet="0"/>
  </xdr:oneCellAnchor>
  <xdr:oneCellAnchor>
    <xdr:from>
      <xdr:col>8</xdr:col>
      <xdr:colOff>0</xdr:colOff>
      <xdr:row>3</xdr:row>
      <xdr:rowOff>209550</xdr:rowOff>
    </xdr:from>
    <xdr:ext cx="1665514" cy="574489"/>
    <xdr:sp macro="" textlink="">
      <xdr:nvSpPr>
        <xdr:cNvPr id="7" name="CommandButton1" hidden="1">
          <a:extLst>
            <a:ext uri="{63B3BB69-23CF-44E3-9099-C40C66FF867C}">
              <a14:compatExt xmlns:a14="http://schemas.microsoft.com/office/drawing/2010/main" spid="_x0000_s16385"/>
            </a:ext>
            <a:ext uri="{FF2B5EF4-FFF2-40B4-BE49-F238E27FC236}">
              <a16:creationId xmlns:a16="http://schemas.microsoft.com/office/drawing/2014/main" id="{00000000-0008-0000-0D00-000007000000}"/>
            </a:ext>
          </a:extLst>
        </xdr:cNvPr>
        <xdr:cNvSpPr/>
      </xdr:nvSpPr>
      <xdr:spPr bwMode="auto">
        <a:xfrm>
          <a:off x="16958235" y="1152712"/>
          <a:ext cx="1665514" cy="57448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LocksWithSheet="0"/>
  </xdr:oneCellAnchor>
  <xdr:oneCellAnchor>
    <xdr:from>
      <xdr:col>8</xdr:col>
      <xdr:colOff>0</xdr:colOff>
      <xdr:row>4</xdr:row>
      <xdr:rowOff>209550</xdr:rowOff>
    </xdr:from>
    <xdr:ext cx="1665514" cy="574489"/>
    <xdr:sp macro="" textlink="">
      <xdr:nvSpPr>
        <xdr:cNvPr id="8" name="CommandButton1" hidden="1">
          <a:extLst>
            <a:ext uri="{63B3BB69-23CF-44E3-9099-C40C66FF867C}">
              <a14:compatExt xmlns:a14="http://schemas.microsoft.com/office/drawing/2010/main" spid="_x0000_s16385"/>
            </a:ext>
            <a:ext uri="{FF2B5EF4-FFF2-40B4-BE49-F238E27FC236}">
              <a16:creationId xmlns:a16="http://schemas.microsoft.com/office/drawing/2014/main" id="{00000000-0008-0000-0D00-000008000000}"/>
            </a:ext>
          </a:extLst>
        </xdr:cNvPr>
        <xdr:cNvSpPr/>
      </xdr:nvSpPr>
      <xdr:spPr bwMode="auto">
        <a:xfrm>
          <a:off x="16958235" y="1479550"/>
          <a:ext cx="1665514" cy="57448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LocksWithSheet="0"/>
  </xdr:oneCellAnchor>
  <xdr:oneCellAnchor>
    <xdr:from>
      <xdr:col>8</xdr:col>
      <xdr:colOff>0</xdr:colOff>
      <xdr:row>5</xdr:row>
      <xdr:rowOff>209550</xdr:rowOff>
    </xdr:from>
    <xdr:ext cx="1665514" cy="574489"/>
    <xdr:sp macro="" textlink="">
      <xdr:nvSpPr>
        <xdr:cNvPr id="9" name="CommandButton1" hidden="1">
          <a:extLst>
            <a:ext uri="{63B3BB69-23CF-44E3-9099-C40C66FF867C}">
              <a14:compatExt xmlns:a14="http://schemas.microsoft.com/office/drawing/2010/main" spid="_x0000_s16385"/>
            </a:ext>
            <a:ext uri="{FF2B5EF4-FFF2-40B4-BE49-F238E27FC236}">
              <a16:creationId xmlns:a16="http://schemas.microsoft.com/office/drawing/2014/main" id="{00000000-0008-0000-0D00-000009000000}"/>
            </a:ext>
          </a:extLst>
        </xdr:cNvPr>
        <xdr:cNvSpPr/>
      </xdr:nvSpPr>
      <xdr:spPr bwMode="auto">
        <a:xfrm>
          <a:off x="16958235" y="1152712"/>
          <a:ext cx="1665514" cy="57448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LocksWithSheet="0"/>
  </xdr:oneCellAnchor>
  <xdr:oneCellAnchor>
    <xdr:from>
      <xdr:col>8</xdr:col>
      <xdr:colOff>0</xdr:colOff>
      <xdr:row>6</xdr:row>
      <xdr:rowOff>209550</xdr:rowOff>
    </xdr:from>
    <xdr:ext cx="1665514" cy="574489"/>
    <xdr:sp macro="" textlink="">
      <xdr:nvSpPr>
        <xdr:cNvPr id="10" name="CommandButton1" hidden="1">
          <a:extLst>
            <a:ext uri="{63B3BB69-23CF-44E3-9099-C40C66FF867C}">
              <a14:compatExt xmlns:a14="http://schemas.microsoft.com/office/drawing/2010/main" spid="_x0000_s16385"/>
            </a:ext>
            <a:ext uri="{FF2B5EF4-FFF2-40B4-BE49-F238E27FC236}">
              <a16:creationId xmlns:a16="http://schemas.microsoft.com/office/drawing/2014/main" id="{00000000-0008-0000-0D00-00000A000000}"/>
            </a:ext>
          </a:extLst>
        </xdr:cNvPr>
        <xdr:cNvSpPr/>
      </xdr:nvSpPr>
      <xdr:spPr bwMode="auto">
        <a:xfrm>
          <a:off x="16958235" y="1479550"/>
          <a:ext cx="1665514" cy="57448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LocksWithSheet="0"/>
  </xdr:oneCellAnchor>
  <xdr:oneCellAnchor>
    <xdr:from>
      <xdr:col>8</xdr:col>
      <xdr:colOff>0</xdr:colOff>
      <xdr:row>7</xdr:row>
      <xdr:rowOff>209550</xdr:rowOff>
    </xdr:from>
    <xdr:ext cx="1665514" cy="574489"/>
    <xdr:sp macro="" textlink="">
      <xdr:nvSpPr>
        <xdr:cNvPr id="11" name="CommandButton1" hidden="1">
          <a:extLst>
            <a:ext uri="{63B3BB69-23CF-44E3-9099-C40C66FF867C}">
              <a14:compatExt xmlns:a14="http://schemas.microsoft.com/office/drawing/2010/main" spid="_x0000_s16385"/>
            </a:ext>
            <a:ext uri="{FF2B5EF4-FFF2-40B4-BE49-F238E27FC236}">
              <a16:creationId xmlns:a16="http://schemas.microsoft.com/office/drawing/2014/main" id="{00000000-0008-0000-0D00-00000B000000}"/>
            </a:ext>
          </a:extLst>
        </xdr:cNvPr>
        <xdr:cNvSpPr/>
      </xdr:nvSpPr>
      <xdr:spPr bwMode="auto">
        <a:xfrm>
          <a:off x="16958235" y="2245285"/>
          <a:ext cx="1665514" cy="57448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LocksWithSheet="0"/>
  </xdr:oneCellAnchor>
  <xdr:oneCellAnchor>
    <xdr:from>
      <xdr:col>8</xdr:col>
      <xdr:colOff>0</xdr:colOff>
      <xdr:row>7</xdr:row>
      <xdr:rowOff>209550</xdr:rowOff>
    </xdr:from>
    <xdr:ext cx="1665514" cy="574489"/>
    <xdr:sp macro="" textlink="">
      <xdr:nvSpPr>
        <xdr:cNvPr id="12" name="CommandButton1" hidden="1">
          <a:extLst>
            <a:ext uri="{63B3BB69-23CF-44E3-9099-C40C66FF867C}">
              <a14:compatExt xmlns:a14="http://schemas.microsoft.com/office/drawing/2010/main" spid="_x0000_s16385"/>
            </a:ext>
            <a:ext uri="{FF2B5EF4-FFF2-40B4-BE49-F238E27FC236}">
              <a16:creationId xmlns:a16="http://schemas.microsoft.com/office/drawing/2014/main" id="{00000000-0008-0000-0D00-00000C000000}"/>
            </a:ext>
          </a:extLst>
        </xdr:cNvPr>
        <xdr:cNvSpPr/>
      </xdr:nvSpPr>
      <xdr:spPr bwMode="auto">
        <a:xfrm>
          <a:off x="16958235" y="1152712"/>
          <a:ext cx="1665514" cy="57448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LocksWithSheet="0"/>
  </xdr:oneCellAnchor>
  <xdr:oneCellAnchor>
    <xdr:from>
      <xdr:col>8</xdr:col>
      <xdr:colOff>0</xdr:colOff>
      <xdr:row>8</xdr:row>
      <xdr:rowOff>209550</xdr:rowOff>
    </xdr:from>
    <xdr:ext cx="1665514" cy="574489"/>
    <xdr:sp macro="" textlink="">
      <xdr:nvSpPr>
        <xdr:cNvPr id="13" name="CommandButton1" hidden="1">
          <a:extLst>
            <a:ext uri="{63B3BB69-23CF-44E3-9099-C40C66FF867C}">
              <a14:compatExt xmlns:a14="http://schemas.microsoft.com/office/drawing/2010/main" spid="_x0000_s16385"/>
            </a:ext>
            <a:ext uri="{FF2B5EF4-FFF2-40B4-BE49-F238E27FC236}">
              <a16:creationId xmlns:a16="http://schemas.microsoft.com/office/drawing/2014/main" id="{00000000-0008-0000-0D00-00000D000000}"/>
            </a:ext>
          </a:extLst>
        </xdr:cNvPr>
        <xdr:cNvSpPr/>
      </xdr:nvSpPr>
      <xdr:spPr bwMode="auto">
        <a:xfrm>
          <a:off x="16958235" y="1479550"/>
          <a:ext cx="1665514" cy="57448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LocksWithSheet="0"/>
  </xdr:oneCellAnchor>
  <xdr:oneCellAnchor>
    <xdr:from>
      <xdr:col>8</xdr:col>
      <xdr:colOff>0</xdr:colOff>
      <xdr:row>9</xdr:row>
      <xdr:rowOff>209550</xdr:rowOff>
    </xdr:from>
    <xdr:ext cx="1665514" cy="574489"/>
    <xdr:sp macro="" textlink="">
      <xdr:nvSpPr>
        <xdr:cNvPr id="14" name="CommandButton1" hidden="1">
          <a:extLst>
            <a:ext uri="{63B3BB69-23CF-44E3-9099-C40C66FF867C}">
              <a14:compatExt xmlns:a14="http://schemas.microsoft.com/office/drawing/2010/main" spid="_x0000_s16385"/>
            </a:ext>
            <a:ext uri="{FF2B5EF4-FFF2-40B4-BE49-F238E27FC236}">
              <a16:creationId xmlns:a16="http://schemas.microsoft.com/office/drawing/2014/main" id="{00000000-0008-0000-0D00-00000E000000}"/>
            </a:ext>
          </a:extLst>
        </xdr:cNvPr>
        <xdr:cNvSpPr/>
      </xdr:nvSpPr>
      <xdr:spPr bwMode="auto">
        <a:xfrm>
          <a:off x="16958235" y="2245285"/>
          <a:ext cx="1665514" cy="57448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LocksWithSheet="0"/>
  </xdr:oneCellAnchor>
  <xdr:oneCellAnchor>
    <xdr:from>
      <xdr:col>8</xdr:col>
      <xdr:colOff>0</xdr:colOff>
      <xdr:row>9</xdr:row>
      <xdr:rowOff>209550</xdr:rowOff>
    </xdr:from>
    <xdr:ext cx="1665514" cy="574489"/>
    <xdr:sp macro="" textlink="">
      <xdr:nvSpPr>
        <xdr:cNvPr id="15" name="CommandButton1" hidden="1">
          <a:extLst>
            <a:ext uri="{63B3BB69-23CF-44E3-9099-C40C66FF867C}">
              <a14:compatExt xmlns:a14="http://schemas.microsoft.com/office/drawing/2010/main" spid="_x0000_s16385"/>
            </a:ext>
            <a:ext uri="{FF2B5EF4-FFF2-40B4-BE49-F238E27FC236}">
              <a16:creationId xmlns:a16="http://schemas.microsoft.com/office/drawing/2014/main" id="{00000000-0008-0000-0D00-00000F000000}"/>
            </a:ext>
          </a:extLst>
        </xdr:cNvPr>
        <xdr:cNvSpPr/>
      </xdr:nvSpPr>
      <xdr:spPr bwMode="auto">
        <a:xfrm>
          <a:off x="16958235" y="1152712"/>
          <a:ext cx="1665514" cy="57448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LocksWithSheet="0"/>
  </xdr:oneCellAnchor>
  <xdr:oneCellAnchor>
    <xdr:from>
      <xdr:col>8</xdr:col>
      <xdr:colOff>0</xdr:colOff>
      <xdr:row>10</xdr:row>
      <xdr:rowOff>209550</xdr:rowOff>
    </xdr:from>
    <xdr:ext cx="1665514" cy="574489"/>
    <xdr:sp macro="" textlink="">
      <xdr:nvSpPr>
        <xdr:cNvPr id="16" name="CommandButton1" hidden="1">
          <a:extLst>
            <a:ext uri="{63B3BB69-23CF-44E3-9099-C40C66FF867C}">
              <a14:compatExt xmlns:a14="http://schemas.microsoft.com/office/drawing/2010/main" spid="_x0000_s16385"/>
            </a:ext>
            <a:ext uri="{FF2B5EF4-FFF2-40B4-BE49-F238E27FC236}">
              <a16:creationId xmlns:a16="http://schemas.microsoft.com/office/drawing/2014/main" id="{00000000-0008-0000-0D00-000010000000}"/>
            </a:ext>
          </a:extLst>
        </xdr:cNvPr>
        <xdr:cNvSpPr/>
      </xdr:nvSpPr>
      <xdr:spPr bwMode="auto">
        <a:xfrm>
          <a:off x="16958235" y="1479550"/>
          <a:ext cx="1665514" cy="57448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LocksWithSheet="0"/>
  </xdr:oneCellAnchor>
  <xdr:oneCellAnchor>
    <xdr:from>
      <xdr:col>8</xdr:col>
      <xdr:colOff>0</xdr:colOff>
      <xdr:row>11</xdr:row>
      <xdr:rowOff>209550</xdr:rowOff>
    </xdr:from>
    <xdr:ext cx="1665514" cy="574489"/>
    <xdr:sp macro="" textlink="">
      <xdr:nvSpPr>
        <xdr:cNvPr id="17" name="CommandButton1" hidden="1">
          <a:extLst>
            <a:ext uri="{63B3BB69-23CF-44E3-9099-C40C66FF867C}">
              <a14:compatExt xmlns:a14="http://schemas.microsoft.com/office/drawing/2010/main" spid="_x0000_s16385"/>
            </a:ext>
            <a:ext uri="{FF2B5EF4-FFF2-40B4-BE49-F238E27FC236}">
              <a16:creationId xmlns:a16="http://schemas.microsoft.com/office/drawing/2014/main" id="{00000000-0008-0000-0D00-000011000000}"/>
            </a:ext>
          </a:extLst>
        </xdr:cNvPr>
        <xdr:cNvSpPr/>
      </xdr:nvSpPr>
      <xdr:spPr bwMode="auto">
        <a:xfrm>
          <a:off x="16958235" y="2245285"/>
          <a:ext cx="1665514" cy="57448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LocksWithSheet="0"/>
  </xdr:oneCellAnchor>
  <xdr:oneCellAnchor>
    <xdr:from>
      <xdr:col>8</xdr:col>
      <xdr:colOff>0</xdr:colOff>
      <xdr:row>11</xdr:row>
      <xdr:rowOff>209550</xdr:rowOff>
    </xdr:from>
    <xdr:ext cx="1665514" cy="574489"/>
    <xdr:sp macro="" textlink="">
      <xdr:nvSpPr>
        <xdr:cNvPr id="18" name="CommandButton1" hidden="1">
          <a:extLst>
            <a:ext uri="{63B3BB69-23CF-44E3-9099-C40C66FF867C}">
              <a14:compatExt xmlns:a14="http://schemas.microsoft.com/office/drawing/2010/main" spid="_x0000_s16385"/>
            </a:ext>
            <a:ext uri="{FF2B5EF4-FFF2-40B4-BE49-F238E27FC236}">
              <a16:creationId xmlns:a16="http://schemas.microsoft.com/office/drawing/2014/main" id="{00000000-0008-0000-0D00-000012000000}"/>
            </a:ext>
          </a:extLst>
        </xdr:cNvPr>
        <xdr:cNvSpPr/>
      </xdr:nvSpPr>
      <xdr:spPr bwMode="auto">
        <a:xfrm>
          <a:off x="16958235" y="1152712"/>
          <a:ext cx="1665514" cy="57448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LocksWithSheet="0"/>
  </xdr:oneCellAnchor>
  <xdr:oneCellAnchor>
    <xdr:from>
      <xdr:col>8</xdr:col>
      <xdr:colOff>0</xdr:colOff>
      <xdr:row>12</xdr:row>
      <xdr:rowOff>209550</xdr:rowOff>
    </xdr:from>
    <xdr:ext cx="1665514" cy="574489"/>
    <xdr:sp macro="" textlink="">
      <xdr:nvSpPr>
        <xdr:cNvPr id="19" name="CommandButton1" hidden="1">
          <a:extLst>
            <a:ext uri="{63B3BB69-23CF-44E3-9099-C40C66FF867C}">
              <a14:compatExt xmlns:a14="http://schemas.microsoft.com/office/drawing/2010/main" spid="_x0000_s16385"/>
            </a:ext>
            <a:ext uri="{FF2B5EF4-FFF2-40B4-BE49-F238E27FC236}">
              <a16:creationId xmlns:a16="http://schemas.microsoft.com/office/drawing/2014/main" id="{00000000-0008-0000-0D00-000013000000}"/>
            </a:ext>
          </a:extLst>
        </xdr:cNvPr>
        <xdr:cNvSpPr/>
      </xdr:nvSpPr>
      <xdr:spPr bwMode="auto">
        <a:xfrm>
          <a:off x="16958235" y="1479550"/>
          <a:ext cx="1665514" cy="57448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LocksWithSheet="0"/>
  </xdr:oneCellAnchor>
  <xdr:oneCellAnchor>
    <xdr:from>
      <xdr:col>8</xdr:col>
      <xdr:colOff>0</xdr:colOff>
      <xdr:row>13</xdr:row>
      <xdr:rowOff>209550</xdr:rowOff>
    </xdr:from>
    <xdr:ext cx="1665514" cy="574489"/>
    <xdr:sp macro="" textlink="">
      <xdr:nvSpPr>
        <xdr:cNvPr id="20" name="CommandButton1" hidden="1">
          <a:extLst>
            <a:ext uri="{63B3BB69-23CF-44E3-9099-C40C66FF867C}">
              <a14:compatExt xmlns:a14="http://schemas.microsoft.com/office/drawing/2010/main" spid="_x0000_s16385"/>
            </a:ext>
            <a:ext uri="{FF2B5EF4-FFF2-40B4-BE49-F238E27FC236}">
              <a16:creationId xmlns:a16="http://schemas.microsoft.com/office/drawing/2014/main" id="{00000000-0008-0000-0D00-000014000000}"/>
            </a:ext>
          </a:extLst>
        </xdr:cNvPr>
        <xdr:cNvSpPr/>
      </xdr:nvSpPr>
      <xdr:spPr bwMode="auto">
        <a:xfrm>
          <a:off x="16958235" y="2245285"/>
          <a:ext cx="1665514" cy="57448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LocksWithSheet="0"/>
  </xdr:oneCellAnchor>
  <xdr:oneCellAnchor>
    <xdr:from>
      <xdr:col>8</xdr:col>
      <xdr:colOff>0</xdr:colOff>
      <xdr:row>13</xdr:row>
      <xdr:rowOff>209550</xdr:rowOff>
    </xdr:from>
    <xdr:ext cx="1665514" cy="574489"/>
    <xdr:sp macro="" textlink="">
      <xdr:nvSpPr>
        <xdr:cNvPr id="21" name="CommandButton1" hidden="1">
          <a:extLst>
            <a:ext uri="{63B3BB69-23CF-44E3-9099-C40C66FF867C}">
              <a14:compatExt xmlns:a14="http://schemas.microsoft.com/office/drawing/2010/main" spid="_x0000_s16385"/>
            </a:ext>
            <a:ext uri="{FF2B5EF4-FFF2-40B4-BE49-F238E27FC236}">
              <a16:creationId xmlns:a16="http://schemas.microsoft.com/office/drawing/2014/main" id="{00000000-0008-0000-0D00-000015000000}"/>
            </a:ext>
          </a:extLst>
        </xdr:cNvPr>
        <xdr:cNvSpPr/>
      </xdr:nvSpPr>
      <xdr:spPr bwMode="auto">
        <a:xfrm>
          <a:off x="16958235" y="1152712"/>
          <a:ext cx="1665514" cy="57448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LocksWithSheet="0"/>
  </xdr:oneCellAnchor>
  <xdr:oneCellAnchor>
    <xdr:from>
      <xdr:col>8</xdr:col>
      <xdr:colOff>0</xdr:colOff>
      <xdr:row>14</xdr:row>
      <xdr:rowOff>209550</xdr:rowOff>
    </xdr:from>
    <xdr:ext cx="1665514" cy="574489"/>
    <xdr:sp macro="" textlink="">
      <xdr:nvSpPr>
        <xdr:cNvPr id="22" name="CommandButton1" hidden="1">
          <a:extLst>
            <a:ext uri="{63B3BB69-23CF-44E3-9099-C40C66FF867C}">
              <a14:compatExt xmlns:a14="http://schemas.microsoft.com/office/drawing/2010/main" spid="_x0000_s16385"/>
            </a:ext>
            <a:ext uri="{FF2B5EF4-FFF2-40B4-BE49-F238E27FC236}">
              <a16:creationId xmlns:a16="http://schemas.microsoft.com/office/drawing/2014/main" id="{00000000-0008-0000-0D00-000016000000}"/>
            </a:ext>
          </a:extLst>
        </xdr:cNvPr>
        <xdr:cNvSpPr/>
      </xdr:nvSpPr>
      <xdr:spPr bwMode="auto">
        <a:xfrm>
          <a:off x="16958235" y="1479550"/>
          <a:ext cx="1665514" cy="57448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LocksWithSheet="0"/>
  </xdr:oneCellAnchor>
  <xdr:oneCellAnchor>
    <xdr:from>
      <xdr:col>8</xdr:col>
      <xdr:colOff>0</xdr:colOff>
      <xdr:row>15</xdr:row>
      <xdr:rowOff>209550</xdr:rowOff>
    </xdr:from>
    <xdr:ext cx="1665514" cy="574489"/>
    <xdr:sp macro="" textlink="">
      <xdr:nvSpPr>
        <xdr:cNvPr id="23" name="CommandButton1" hidden="1">
          <a:extLst>
            <a:ext uri="{63B3BB69-23CF-44E3-9099-C40C66FF867C}">
              <a14:compatExt xmlns:a14="http://schemas.microsoft.com/office/drawing/2010/main" spid="_x0000_s16385"/>
            </a:ext>
            <a:ext uri="{FF2B5EF4-FFF2-40B4-BE49-F238E27FC236}">
              <a16:creationId xmlns:a16="http://schemas.microsoft.com/office/drawing/2014/main" id="{00000000-0008-0000-0D00-000017000000}"/>
            </a:ext>
          </a:extLst>
        </xdr:cNvPr>
        <xdr:cNvSpPr/>
      </xdr:nvSpPr>
      <xdr:spPr bwMode="auto">
        <a:xfrm>
          <a:off x="16958235" y="2245285"/>
          <a:ext cx="1665514" cy="57448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LocksWithSheet="0"/>
  </xdr:oneCellAnchor>
  <xdr:oneCellAnchor>
    <xdr:from>
      <xdr:col>8</xdr:col>
      <xdr:colOff>0</xdr:colOff>
      <xdr:row>15</xdr:row>
      <xdr:rowOff>209550</xdr:rowOff>
    </xdr:from>
    <xdr:ext cx="1665514" cy="574489"/>
    <xdr:sp macro="" textlink="">
      <xdr:nvSpPr>
        <xdr:cNvPr id="24" name="CommandButton1" hidden="1">
          <a:extLst>
            <a:ext uri="{63B3BB69-23CF-44E3-9099-C40C66FF867C}">
              <a14:compatExt xmlns:a14="http://schemas.microsoft.com/office/drawing/2010/main" spid="_x0000_s16385"/>
            </a:ext>
            <a:ext uri="{FF2B5EF4-FFF2-40B4-BE49-F238E27FC236}">
              <a16:creationId xmlns:a16="http://schemas.microsoft.com/office/drawing/2014/main" id="{00000000-0008-0000-0D00-000018000000}"/>
            </a:ext>
          </a:extLst>
        </xdr:cNvPr>
        <xdr:cNvSpPr/>
      </xdr:nvSpPr>
      <xdr:spPr bwMode="auto">
        <a:xfrm>
          <a:off x="16958235" y="1152712"/>
          <a:ext cx="1665514" cy="57448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LocksWithSheet="0"/>
  </xdr:oneCellAnchor>
  <xdr:oneCellAnchor>
    <xdr:from>
      <xdr:col>8</xdr:col>
      <xdr:colOff>0</xdr:colOff>
      <xdr:row>16</xdr:row>
      <xdr:rowOff>209550</xdr:rowOff>
    </xdr:from>
    <xdr:ext cx="1665514" cy="574489"/>
    <xdr:sp macro="" textlink="">
      <xdr:nvSpPr>
        <xdr:cNvPr id="25" name="CommandButton1" hidden="1">
          <a:extLst>
            <a:ext uri="{63B3BB69-23CF-44E3-9099-C40C66FF867C}">
              <a14:compatExt xmlns:a14="http://schemas.microsoft.com/office/drawing/2010/main" spid="_x0000_s16385"/>
            </a:ext>
            <a:ext uri="{FF2B5EF4-FFF2-40B4-BE49-F238E27FC236}">
              <a16:creationId xmlns:a16="http://schemas.microsoft.com/office/drawing/2014/main" id="{00000000-0008-0000-0D00-000019000000}"/>
            </a:ext>
          </a:extLst>
        </xdr:cNvPr>
        <xdr:cNvSpPr/>
      </xdr:nvSpPr>
      <xdr:spPr bwMode="auto">
        <a:xfrm>
          <a:off x="16958235" y="1479550"/>
          <a:ext cx="1665514" cy="57448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LocksWithSheet="0"/>
  </xdr:oneCellAnchor>
  <xdr:oneCellAnchor>
    <xdr:from>
      <xdr:col>8</xdr:col>
      <xdr:colOff>0</xdr:colOff>
      <xdr:row>17</xdr:row>
      <xdr:rowOff>209550</xdr:rowOff>
    </xdr:from>
    <xdr:ext cx="1665514" cy="574489"/>
    <xdr:sp macro="" textlink="">
      <xdr:nvSpPr>
        <xdr:cNvPr id="26" name="CommandButton1" hidden="1">
          <a:extLst>
            <a:ext uri="{63B3BB69-23CF-44E3-9099-C40C66FF867C}">
              <a14:compatExt xmlns:a14="http://schemas.microsoft.com/office/drawing/2010/main" spid="_x0000_s16385"/>
            </a:ext>
            <a:ext uri="{FF2B5EF4-FFF2-40B4-BE49-F238E27FC236}">
              <a16:creationId xmlns:a16="http://schemas.microsoft.com/office/drawing/2014/main" id="{00000000-0008-0000-0D00-00001A000000}"/>
            </a:ext>
          </a:extLst>
        </xdr:cNvPr>
        <xdr:cNvSpPr/>
      </xdr:nvSpPr>
      <xdr:spPr bwMode="auto">
        <a:xfrm>
          <a:off x="16958235" y="2245285"/>
          <a:ext cx="1665514" cy="57448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LocksWithSheet="0"/>
  </xdr:one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1</xdr:row>
      <xdr:rowOff>209550</xdr:rowOff>
    </xdr:from>
    <xdr:to>
      <xdr:col>0</xdr:col>
      <xdr:colOff>1665514</xdr:colOff>
      <xdr:row>10</xdr:row>
      <xdr:rowOff>9525</xdr:rowOff>
    </xdr:to>
    <xdr:sp macro="" textlink="">
      <xdr:nvSpPr>
        <xdr:cNvPr id="2" name="CommandButton1" hidden="1">
          <a:extLst>
            <a:ext uri="{63B3BB69-23CF-44E3-9099-C40C66FF867C}">
              <a14:compatExt xmlns:a14="http://schemas.microsoft.com/office/drawing/2010/main" spid="_x0000_s16385"/>
            </a:ext>
            <a:ext uri="{FF2B5EF4-FFF2-40B4-BE49-F238E27FC236}">
              <a16:creationId xmlns:a16="http://schemas.microsoft.com/office/drawing/2014/main" id="{00000000-0008-0000-0F00-000002000000}"/>
            </a:ext>
          </a:extLst>
        </xdr:cNvPr>
        <xdr:cNvSpPr/>
      </xdr:nvSpPr>
      <xdr:spPr bwMode="auto">
        <a:xfrm>
          <a:off x="16640175" y="790575"/>
          <a:ext cx="1665514" cy="5715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LocksWithSheet="0"/>
  </xdr:twoCellAnchor>
  <mc:AlternateContent xmlns:mc="http://schemas.openxmlformats.org/markup-compatibility/2006">
    <mc:Choice xmlns:a14="http://schemas.microsoft.com/office/drawing/2010/main" Requires="a14">
      <xdr:twoCellAnchor editAs="oneCell">
        <xdr:from>
          <xdr:col>15</xdr:col>
          <xdr:colOff>297180</xdr:colOff>
          <xdr:row>1</xdr:row>
          <xdr:rowOff>0</xdr:rowOff>
        </xdr:from>
        <xdr:to>
          <xdr:col>17</xdr:col>
          <xdr:colOff>7620</xdr:colOff>
          <xdr:row>2</xdr:row>
          <xdr:rowOff>30480</xdr:rowOff>
        </xdr:to>
        <xdr:sp macro="" textlink="">
          <xdr:nvSpPr>
            <xdr:cNvPr id="1025" name="CommandButton1" hidden="1">
              <a:extLst>
                <a:ext uri="{63B3BB69-23CF-44E3-9099-C40C66FF867C}">
                  <a14:compatExt spid="_x0000_s1025"/>
                </a:ext>
                <a:ext uri="{FF2B5EF4-FFF2-40B4-BE49-F238E27FC236}">
                  <a16:creationId xmlns:a16="http://schemas.microsoft.com/office/drawing/2014/main" id="{00000000-0008-0000-0F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297180</xdr:colOff>
          <xdr:row>2</xdr:row>
          <xdr:rowOff>373380</xdr:rowOff>
        </xdr:from>
        <xdr:to>
          <xdr:col>17</xdr:col>
          <xdr:colOff>7620</xdr:colOff>
          <xdr:row>4</xdr:row>
          <xdr:rowOff>121920</xdr:rowOff>
        </xdr:to>
        <xdr:sp macro="" textlink="">
          <xdr:nvSpPr>
            <xdr:cNvPr id="1026" name="CommandButton2" hidden="1">
              <a:extLst>
                <a:ext uri="{63B3BB69-23CF-44E3-9099-C40C66FF867C}">
                  <a14:compatExt spid="_x0000_s1026"/>
                </a:ext>
                <a:ext uri="{FF2B5EF4-FFF2-40B4-BE49-F238E27FC236}">
                  <a16:creationId xmlns:a16="http://schemas.microsoft.com/office/drawing/2014/main" id="{00000000-0008-0000-0F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24</xdr:col>
      <xdr:colOff>0</xdr:colOff>
      <xdr:row>0</xdr:row>
      <xdr:rowOff>209550</xdr:rowOff>
    </xdr:from>
    <xdr:ext cx="1665514" cy="3328366"/>
    <xdr:sp macro="" textlink="">
      <xdr:nvSpPr>
        <xdr:cNvPr id="5" name="CommandButton1" hidden="1">
          <a:extLst>
            <a:ext uri="{63B3BB69-23CF-44E3-9099-C40C66FF867C}">
              <a14:compatExt xmlns:a14="http://schemas.microsoft.com/office/drawing/2010/main" spid="_x0000_s16385"/>
            </a:ext>
            <a:ext uri="{FF2B5EF4-FFF2-40B4-BE49-F238E27FC236}">
              <a16:creationId xmlns:a16="http://schemas.microsoft.com/office/drawing/2014/main" id="{00000000-0008-0000-0F00-000005000000}"/>
            </a:ext>
          </a:extLst>
        </xdr:cNvPr>
        <xdr:cNvSpPr/>
      </xdr:nvSpPr>
      <xdr:spPr bwMode="auto">
        <a:xfrm>
          <a:off x="0" y="999159"/>
          <a:ext cx="1665514" cy="3328366"/>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LocksWithSheet="0"/>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2.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6" Type="http://schemas.openxmlformats.org/officeDocument/2006/relationships/image" Target="../media/image3.emf"/><Relationship Id="rId5" Type="http://schemas.openxmlformats.org/officeDocument/2006/relationships/control" Target="../activeX/activeX3.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6" Type="http://schemas.openxmlformats.org/officeDocument/2006/relationships/image" Target="../media/image4.emf"/><Relationship Id="rId5" Type="http://schemas.openxmlformats.org/officeDocument/2006/relationships/control" Target="../activeX/activeX4.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8" Type="http://schemas.openxmlformats.org/officeDocument/2006/relationships/image" Target="../media/image6.emf"/><Relationship Id="rId3" Type="http://schemas.openxmlformats.org/officeDocument/2006/relationships/drawing" Target="../drawings/drawing4.xml"/><Relationship Id="rId7" Type="http://schemas.openxmlformats.org/officeDocument/2006/relationships/control" Target="../activeX/activeX6.xml"/><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6" Type="http://schemas.openxmlformats.org/officeDocument/2006/relationships/image" Target="../media/image5.emf"/><Relationship Id="rId5" Type="http://schemas.openxmlformats.org/officeDocument/2006/relationships/control" Target="../activeX/activeX5.xml"/><Relationship Id="rId10" Type="http://schemas.openxmlformats.org/officeDocument/2006/relationships/image" Target="../media/image7.emf"/><Relationship Id="rId4" Type="http://schemas.openxmlformats.org/officeDocument/2006/relationships/vmlDrawing" Target="../drawings/vmlDrawing4.vml"/><Relationship Id="rId9" Type="http://schemas.openxmlformats.org/officeDocument/2006/relationships/control" Target="../activeX/activeX7.xml"/></Relationships>
</file>

<file path=xl/worksheets/_rels/sheet7.xml.rels><?xml version="1.0" encoding="UTF-8" standalone="yes"?>
<Relationships xmlns="http://schemas.openxmlformats.org/package/2006/relationships"><Relationship Id="rId8" Type="http://schemas.openxmlformats.org/officeDocument/2006/relationships/image" Target="../media/image9.emf"/><Relationship Id="rId3" Type="http://schemas.openxmlformats.org/officeDocument/2006/relationships/drawing" Target="../drawings/drawing5.xml"/><Relationship Id="rId7" Type="http://schemas.openxmlformats.org/officeDocument/2006/relationships/control" Target="../activeX/activeX9.xml"/><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 Id="rId6" Type="http://schemas.openxmlformats.org/officeDocument/2006/relationships/image" Target="../media/image8.emf"/><Relationship Id="rId5" Type="http://schemas.openxmlformats.org/officeDocument/2006/relationships/control" Target="../activeX/activeX8.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4.bin"/><Relationship Id="rId1" Type="http://schemas.openxmlformats.org/officeDocument/2006/relationships/printerSettings" Target="../printerSettings/printerSettings13.bin"/><Relationship Id="rId6" Type="http://schemas.openxmlformats.org/officeDocument/2006/relationships/image" Target="../media/image10.emf"/><Relationship Id="rId5" Type="http://schemas.openxmlformats.org/officeDocument/2006/relationships/control" Target="../activeX/activeX10.xml"/><Relationship Id="rId4" Type="http://schemas.openxmlformats.org/officeDocument/2006/relationships/vmlDrawing" Target="../drawings/vmlDrawing6.v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6.bin"/><Relationship Id="rId1" Type="http://schemas.openxmlformats.org/officeDocument/2006/relationships/printerSettings" Target="../printerSettings/printerSettings15.bin"/><Relationship Id="rId6" Type="http://schemas.openxmlformats.org/officeDocument/2006/relationships/image" Target="../media/image11.emf"/><Relationship Id="rId5" Type="http://schemas.openxmlformats.org/officeDocument/2006/relationships/control" Target="../activeX/activeX11.xml"/><Relationship Id="rId4"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8.bin"/><Relationship Id="rId1" Type="http://schemas.openxmlformats.org/officeDocument/2006/relationships/printerSettings" Target="../printerSettings/printerSettings17.bin"/><Relationship Id="rId6" Type="http://schemas.openxmlformats.org/officeDocument/2006/relationships/image" Target="../media/image12.emf"/><Relationship Id="rId5" Type="http://schemas.openxmlformats.org/officeDocument/2006/relationships/control" Target="../activeX/activeX12.xml"/><Relationship Id="rId4" Type="http://schemas.openxmlformats.org/officeDocument/2006/relationships/vmlDrawing" Target="../drawings/vmlDrawing8.vml"/></Relationships>
</file>

<file path=xl/worksheets/_rels/sheet11.xml.rels><?xml version="1.0" encoding="UTF-8" standalone="yes"?>
<Relationships xmlns="http://schemas.openxmlformats.org/package/2006/relationships"><Relationship Id="rId8" Type="http://schemas.openxmlformats.org/officeDocument/2006/relationships/image" Target="../media/image14.emf"/><Relationship Id="rId3" Type="http://schemas.openxmlformats.org/officeDocument/2006/relationships/drawing" Target="../drawings/drawing9.xml"/><Relationship Id="rId7" Type="http://schemas.openxmlformats.org/officeDocument/2006/relationships/control" Target="../activeX/activeX14.xml"/><Relationship Id="rId2" Type="http://schemas.openxmlformats.org/officeDocument/2006/relationships/printerSettings" Target="../printerSettings/printerSettings20.bin"/><Relationship Id="rId1" Type="http://schemas.openxmlformats.org/officeDocument/2006/relationships/printerSettings" Target="../printerSettings/printerSettings19.bin"/><Relationship Id="rId6" Type="http://schemas.openxmlformats.org/officeDocument/2006/relationships/image" Target="../media/image13.emf"/><Relationship Id="rId5" Type="http://schemas.openxmlformats.org/officeDocument/2006/relationships/control" Target="../activeX/activeX13.xml"/><Relationship Id="rId10" Type="http://schemas.openxmlformats.org/officeDocument/2006/relationships/image" Target="../media/image15.emf"/><Relationship Id="rId4" Type="http://schemas.openxmlformats.org/officeDocument/2006/relationships/vmlDrawing" Target="../drawings/vmlDrawing9.vml"/><Relationship Id="rId9" Type="http://schemas.openxmlformats.org/officeDocument/2006/relationships/control" Target="../activeX/activeX15.xm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22.bin"/><Relationship Id="rId1" Type="http://schemas.openxmlformats.org/officeDocument/2006/relationships/printerSettings" Target="../printerSettings/printerSettings21.bin"/></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24.bin"/><Relationship Id="rId1" Type="http://schemas.openxmlformats.org/officeDocument/2006/relationships/printerSettings" Target="../printerSettings/printerSettings23.bin"/><Relationship Id="rId6" Type="http://schemas.openxmlformats.org/officeDocument/2006/relationships/image" Target="../media/image16.emf"/><Relationship Id="rId5" Type="http://schemas.openxmlformats.org/officeDocument/2006/relationships/control" Target="../activeX/activeX16.xml"/><Relationship Id="rId4" Type="http://schemas.openxmlformats.org/officeDocument/2006/relationships/vmlDrawing" Target="../drawings/vmlDrawing10.vml"/></Relationships>
</file>

<file path=xl/worksheets/_rels/sheet14.xml.rels><?xml version="1.0" encoding="UTF-8" standalone="yes"?>
<Relationships xmlns="http://schemas.openxmlformats.org/package/2006/relationships"><Relationship Id="rId8" Type="http://schemas.openxmlformats.org/officeDocument/2006/relationships/image" Target="../media/image18.emf"/><Relationship Id="rId3" Type="http://schemas.openxmlformats.org/officeDocument/2006/relationships/drawing" Target="../drawings/drawing11.xml"/><Relationship Id="rId7" Type="http://schemas.openxmlformats.org/officeDocument/2006/relationships/control" Target="../activeX/activeX18.xml"/><Relationship Id="rId2" Type="http://schemas.openxmlformats.org/officeDocument/2006/relationships/printerSettings" Target="../printerSettings/printerSettings26.bin"/><Relationship Id="rId1" Type="http://schemas.openxmlformats.org/officeDocument/2006/relationships/printerSettings" Target="../printerSettings/printerSettings25.bin"/><Relationship Id="rId6" Type="http://schemas.openxmlformats.org/officeDocument/2006/relationships/image" Target="../media/image17.emf"/><Relationship Id="rId5" Type="http://schemas.openxmlformats.org/officeDocument/2006/relationships/control" Target="../activeX/activeX17.xml"/><Relationship Id="rId10" Type="http://schemas.openxmlformats.org/officeDocument/2006/relationships/image" Target="../media/image19.emf"/><Relationship Id="rId4" Type="http://schemas.openxmlformats.org/officeDocument/2006/relationships/vmlDrawing" Target="../drawings/vmlDrawing11.vml"/><Relationship Id="rId9" Type="http://schemas.openxmlformats.org/officeDocument/2006/relationships/control" Target="../activeX/activeX19.xml"/></Relationships>
</file>

<file path=xl/worksheets/_rels/sheet15.xml.rels><?xml version="1.0" encoding="UTF-8" standalone="yes"?>
<Relationships xmlns="http://schemas.openxmlformats.org/package/2006/relationships"><Relationship Id="rId2" Type="http://schemas.openxmlformats.org/officeDocument/2006/relationships/printerSettings" Target="../printerSettings/printerSettings28.bin"/><Relationship Id="rId1" Type="http://schemas.openxmlformats.org/officeDocument/2006/relationships/printerSettings" Target="../printerSettings/printerSettings27.bin"/></Relationships>
</file>

<file path=xl/worksheets/_rels/sheet16.xml.rels><?xml version="1.0" encoding="UTF-8" standalone="yes"?>
<Relationships xmlns="http://schemas.openxmlformats.org/package/2006/relationships"><Relationship Id="rId8" Type="http://schemas.openxmlformats.org/officeDocument/2006/relationships/image" Target="../media/image21.emf"/><Relationship Id="rId3" Type="http://schemas.openxmlformats.org/officeDocument/2006/relationships/drawing" Target="../drawings/drawing12.xml"/><Relationship Id="rId7" Type="http://schemas.openxmlformats.org/officeDocument/2006/relationships/control" Target="../activeX/activeX21.xml"/><Relationship Id="rId2" Type="http://schemas.openxmlformats.org/officeDocument/2006/relationships/printerSettings" Target="../printerSettings/printerSettings30.bin"/><Relationship Id="rId1" Type="http://schemas.openxmlformats.org/officeDocument/2006/relationships/printerSettings" Target="../printerSettings/printerSettings29.bin"/><Relationship Id="rId6" Type="http://schemas.openxmlformats.org/officeDocument/2006/relationships/image" Target="../media/image20.emf"/><Relationship Id="rId5" Type="http://schemas.openxmlformats.org/officeDocument/2006/relationships/control" Target="../activeX/activeX20.xml"/><Relationship Id="rId4" Type="http://schemas.openxmlformats.org/officeDocument/2006/relationships/vmlDrawing" Target="../drawings/vmlDrawing1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names_sheet">
    <pageSetUpPr fitToPage="1"/>
  </sheetPr>
  <dimension ref="A1:AR45"/>
  <sheetViews>
    <sheetView showZeros="0" topLeftCell="Q1" zoomScale="106" zoomScaleNormal="100" workbookViewId="0">
      <pane ySplit="2" topLeftCell="A3" activePane="bottomLeft" state="frozen"/>
      <selection pane="bottomLeft" activeCell="L31" sqref="A31:XFD31"/>
    </sheetView>
  </sheetViews>
  <sheetFormatPr defaultRowHeight="15.6" x14ac:dyDescent="0.3"/>
  <cols>
    <col min="1" max="1" width="6.44140625" style="1" customWidth="1"/>
    <col min="2" max="2" width="17.44140625" style="1" customWidth="1"/>
    <col min="3" max="3" width="16.44140625" style="149" customWidth="1"/>
    <col min="4" max="4" width="7.44140625" style="9" customWidth="1"/>
    <col min="5" max="5" width="7.5546875" style="56" bestFit="1" customWidth="1"/>
    <col min="6" max="6" width="28.5546875" style="103" customWidth="1"/>
    <col min="7" max="7" width="28.5546875" style="140" hidden="1" customWidth="1"/>
    <col min="8" max="8" width="28.5546875" style="139" customWidth="1"/>
    <col min="9" max="9" width="28.5546875" style="138" hidden="1" customWidth="1"/>
    <col min="10" max="10" width="28.5546875" style="105" hidden="1" customWidth="1"/>
    <col min="11" max="11" width="28.5546875" style="107" hidden="1" customWidth="1"/>
    <col min="12" max="12" width="13.109375" style="100" customWidth="1"/>
    <col min="13" max="13" width="10.5546875" style="100" customWidth="1"/>
    <col min="14" max="14" width="6.5546875" style="100" customWidth="1"/>
    <col min="15" max="18" width="6.5546875" style="108" customWidth="1"/>
    <col min="19" max="19" width="8.44140625" style="108" customWidth="1"/>
    <col min="20" max="26" width="8.44140625" style="100" customWidth="1"/>
    <col min="27" max="28" width="8.88671875" customWidth="1"/>
    <col min="29" max="29" width="8.88671875" style="351"/>
    <col min="30" max="30" width="8.88671875" style="9"/>
    <col min="32" max="32" width="19.5546875" style="103" customWidth="1"/>
    <col min="33" max="33" width="8.88671875" style="351"/>
  </cols>
  <sheetData>
    <row r="1" spans="1:44" s="104" customFormat="1" ht="45" customHeight="1" x14ac:dyDescent="0.4">
      <c r="A1" s="369" t="s">
        <v>663</v>
      </c>
      <c r="B1" s="370"/>
      <c r="C1" s="371"/>
      <c r="D1" s="372"/>
      <c r="E1" s="372"/>
      <c r="F1" s="291" t="s">
        <v>268</v>
      </c>
      <c r="G1" s="373"/>
      <c r="H1" s="374"/>
      <c r="I1" s="375"/>
      <c r="J1" s="376"/>
      <c r="K1" s="370"/>
      <c r="L1" s="377" t="s">
        <v>256</v>
      </c>
      <c r="M1" s="378"/>
      <c r="N1" s="378"/>
      <c r="O1" s="379"/>
      <c r="P1" s="379"/>
      <c r="Q1" s="379"/>
      <c r="R1" s="379"/>
      <c r="S1" s="379"/>
      <c r="T1" s="378"/>
      <c r="U1" s="378"/>
      <c r="V1" s="380"/>
      <c r="W1" s="378"/>
      <c r="X1" s="378"/>
      <c r="Y1" s="378"/>
      <c r="Z1" s="378"/>
      <c r="AA1" s="380"/>
      <c r="AB1" s="380"/>
      <c r="AC1" s="350"/>
      <c r="AD1" s="381"/>
      <c r="AF1" s="291" t="s">
        <v>268</v>
      </c>
      <c r="AG1" s="350"/>
    </row>
    <row r="2" spans="1:44" s="2" customFormat="1" ht="114" customHeight="1" x14ac:dyDescent="0.35">
      <c r="A2" s="411" t="s">
        <v>220</v>
      </c>
      <c r="B2" s="412" t="s">
        <v>221</v>
      </c>
      <c r="C2" s="413" t="s">
        <v>222</v>
      </c>
      <c r="D2" s="411" t="s">
        <v>223</v>
      </c>
      <c r="E2" s="411" t="s">
        <v>706</v>
      </c>
      <c r="F2" s="382" t="s">
        <v>224</v>
      </c>
      <c r="G2" s="383"/>
      <c r="H2" s="384" t="s">
        <v>305</v>
      </c>
      <c r="I2" s="384"/>
      <c r="J2" s="385"/>
      <c r="K2" s="386"/>
      <c r="L2" s="387" t="s">
        <v>41</v>
      </c>
      <c r="M2" s="388" t="s">
        <v>257</v>
      </c>
      <c r="N2" s="388" t="s">
        <v>56</v>
      </c>
      <c r="O2" s="389" t="s">
        <v>258</v>
      </c>
      <c r="P2" s="389" t="s">
        <v>259</v>
      </c>
      <c r="Q2" s="389" t="s">
        <v>266</v>
      </c>
      <c r="R2" s="389" t="s">
        <v>260</v>
      </c>
      <c r="S2" s="389" t="s">
        <v>261</v>
      </c>
      <c r="T2" s="388" t="s">
        <v>262</v>
      </c>
      <c r="U2" s="388" t="s">
        <v>133</v>
      </c>
      <c r="V2" s="388" t="s">
        <v>267</v>
      </c>
      <c r="W2" s="388" t="s">
        <v>263</v>
      </c>
      <c r="X2" s="388" t="s">
        <v>264</v>
      </c>
      <c r="Y2" s="388" t="s">
        <v>265</v>
      </c>
      <c r="Z2" s="388" t="s">
        <v>664</v>
      </c>
      <c r="AA2" s="390" t="s">
        <v>295</v>
      </c>
      <c r="AB2" s="391" t="s">
        <v>430</v>
      </c>
      <c r="AC2" s="292" t="str">
        <f t="shared" ref="AC2" si="0">Z2</f>
        <v>Total for Show 2019
(All classes)</v>
      </c>
      <c r="AD2" s="392" t="s">
        <v>497</v>
      </c>
      <c r="AF2" s="106" t="s">
        <v>224</v>
      </c>
      <c r="AG2" s="292" t="s">
        <v>664</v>
      </c>
    </row>
    <row r="3" spans="1:44" x14ac:dyDescent="0.3">
      <c r="A3" s="281"/>
      <c r="B3" s="281" t="s">
        <v>804</v>
      </c>
      <c r="C3" s="415" t="s">
        <v>125</v>
      </c>
      <c r="D3" s="402"/>
      <c r="E3" s="402" t="s">
        <v>500</v>
      </c>
      <c r="F3" s="102" t="s">
        <v>846</v>
      </c>
      <c r="G3" s="393"/>
      <c r="H3" s="394" t="s">
        <v>847</v>
      </c>
      <c r="I3" s="395">
        <v>0</v>
      </c>
      <c r="J3" s="396"/>
      <c r="K3" s="397"/>
      <c r="L3" s="398">
        <v>0</v>
      </c>
      <c r="M3" s="398">
        <v>0</v>
      </c>
      <c r="N3" s="398">
        <v>0</v>
      </c>
      <c r="O3" s="399">
        <v>0</v>
      </c>
      <c r="P3" s="399">
        <v>0</v>
      </c>
      <c r="Q3" s="399">
        <v>0</v>
      </c>
      <c r="R3" s="399">
        <v>0</v>
      </c>
      <c r="S3" s="399">
        <v>0</v>
      </c>
      <c r="T3" s="398">
        <v>0</v>
      </c>
      <c r="U3" s="398">
        <v>0</v>
      </c>
      <c r="V3" s="398">
        <v>0</v>
      </c>
      <c r="W3" s="398">
        <v>2</v>
      </c>
      <c r="X3" s="398">
        <v>0</v>
      </c>
      <c r="Y3" s="398">
        <v>0</v>
      </c>
      <c r="Z3" s="398">
        <f t="shared" ref="Z3:Z44" si="1">SUM(N3:Y3)+L3</f>
        <v>2</v>
      </c>
      <c r="AA3" s="242"/>
      <c r="AB3" s="242"/>
      <c r="AC3" s="293"/>
      <c r="AD3" s="270"/>
      <c r="AE3">
        <v>28</v>
      </c>
      <c r="AF3" s="103">
        <v>5</v>
      </c>
      <c r="AG3" s="351">
        <v>14</v>
      </c>
      <c r="AH3">
        <v>5</v>
      </c>
      <c r="AI3">
        <v>10</v>
      </c>
      <c r="AJ3">
        <v>9</v>
      </c>
      <c r="AK3">
        <v>3</v>
      </c>
      <c r="AL3">
        <v>7</v>
      </c>
      <c r="AM3">
        <v>16</v>
      </c>
      <c r="AN3">
        <v>23</v>
      </c>
      <c r="AO3">
        <v>9</v>
      </c>
      <c r="AP3">
        <v>8</v>
      </c>
      <c r="AQ3">
        <v>3</v>
      </c>
      <c r="AR3">
        <v>5</v>
      </c>
    </row>
    <row r="4" spans="1:44" x14ac:dyDescent="0.3">
      <c r="A4" s="281"/>
      <c r="B4" s="400" t="s">
        <v>804</v>
      </c>
      <c r="C4" s="401" t="s">
        <v>845</v>
      </c>
      <c r="D4" s="402"/>
      <c r="E4" s="402" t="s">
        <v>850</v>
      </c>
      <c r="F4" s="102" t="s">
        <v>848</v>
      </c>
      <c r="G4" s="393"/>
      <c r="H4" s="394" t="s">
        <v>849</v>
      </c>
      <c r="I4" s="395">
        <v>0</v>
      </c>
      <c r="J4" s="396"/>
      <c r="K4" s="397"/>
      <c r="L4" s="398">
        <v>0</v>
      </c>
      <c r="M4" s="398">
        <v>0</v>
      </c>
      <c r="N4" s="398">
        <v>0</v>
      </c>
      <c r="O4" s="399">
        <v>0</v>
      </c>
      <c r="P4" s="399">
        <v>0</v>
      </c>
      <c r="Q4" s="399">
        <v>0</v>
      </c>
      <c r="R4" s="399">
        <v>0</v>
      </c>
      <c r="S4" s="399">
        <v>0</v>
      </c>
      <c r="T4" s="398">
        <v>0</v>
      </c>
      <c r="U4" s="398">
        <v>0</v>
      </c>
      <c r="V4" s="398">
        <v>0</v>
      </c>
      <c r="W4" s="398">
        <v>3</v>
      </c>
      <c r="X4" s="398">
        <v>0</v>
      </c>
      <c r="Y4" s="398">
        <v>0</v>
      </c>
      <c r="Z4" s="398">
        <f t="shared" si="1"/>
        <v>3</v>
      </c>
      <c r="AA4" s="242"/>
      <c r="AB4" s="242"/>
      <c r="AC4" s="293"/>
      <c r="AD4" s="270"/>
      <c r="AE4">
        <v>17</v>
      </c>
      <c r="AF4" s="103">
        <v>3</v>
      </c>
      <c r="AG4" s="351">
        <v>10</v>
      </c>
      <c r="AH4">
        <v>3</v>
      </c>
      <c r="AI4">
        <v>8</v>
      </c>
      <c r="AJ4">
        <v>0</v>
      </c>
      <c r="AK4">
        <v>2</v>
      </c>
      <c r="AL4">
        <v>4</v>
      </c>
      <c r="AM4">
        <v>8</v>
      </c>
      <c r="AN4">
        <v>20</v>
      </c>
      <c r="AO4">
        <v>7</v>
      </c>
      <c r="AP4">
        <v>5</v>
      </c>
      <c r="AQ4">
        <v>3</v>
      </c>
      <c r="AR4">
        <v>3</v>
      </c>
    </row>
    <row r="5" spans="1:44" x14ac:dyDescent="0.3">
      <c r="A5" s="281"/>
      <c r="B5" s="281" t="s">
        <v>821</v>
      </c>
      <c r="C5" s="415" t="s">
        <v>718</v>
      </c>
      <c r="D5" s="402"/>
      <c r="E5" s="402" t="s">
        <v>823</v>
      </c>
      <c r="F5" s="102" t="s">
        <v>824</v>
      </c>
      <c r="G5" s="393"/>
      <c r="H5" s="394" t="s">
        <v>825</v>
      </c>
      <c r="I5" s="395">
        <v>0</v>
      </c>
      <c r="J5" s="396"/>
      <c r="K5" s="397"/>
      <c r="L5" s="398">
        <v>0</v>
      </c>
      <c r="M5" s="398">
        <v>0</v>
      </c>
      <c r="N5" s="398">
        <v>0</v>
      </c>
      <c r="O5" s="399">
        <v>0</v>
      </c>
      <c r="P5" s="399">
        <v>0</v>
      </c>
      <c r="Q5" s="399">
        <v>0</v>
      </c>
      <c r="R5" s="399">
        <v>0</v>
      </c>
      <c r="S5" s="399">
        <v>0</v>
      </c>
      <c r="T5" s="398">
        <v>0</v>
      </c>
      <c r="U5" s="398">
        <v>3</v>
      </c>
      <c r="V5" s="398">
        <v>0</v>
      </c>
      <c r="W5" s="398">
        <v>0</v>
      </c>
      <c r="X5" s="398">
        <v>0</v>
      </c>
      <c r="Y5" s="398">
        <v>0</v>
      </c>
      <c r="Z5" s="398">
        <f t="shared" si="1"/>
        <v>3</v>
      </c>
      <c r="AA5" s="242"/>
      <c r="AB5" s="242"/>
      <c r="AC5" s="293"/>
      <c r="AD5" s="270"/>
      <c r="AE5">
        <v>14</v>
      </c>
      <c r="AF5" s="103">
        <v>3</v>
      </c>
      <c r="AG5" s="351">
        <v>8</v>
      </c>
      <c r="AH5">
        <v>3</v>
      </c>
      <c r="AI5">
        <v>6</v>
      </c>
      <c r="AJ5">
        <v>0</v>
      </c>
      <c r="AK5">
        <v>0</v>
      </c>
      <c r="AL5">
        <v>0</v>
      </c>
      <c r="AM5">
        <v>8</v>
      </c>
      <c r="AN5">
        <v>17</v>
      </c>
      <c r="AO5">
        <v>3</v>
      </c>
      <c r="AP5">
        <v>3</v>
      </c>
      <c r="AQ5">
        <v>3</v>
      </c>
      <c r="AR5">
        <v>3</v>
      </c>
    </row>
    <row r="6" spans="1:44" x14ac:dyDescent="0.3">
      <c r="A6" s="281"/>
      <c r="B6" s="281" t="s">
        <v>710</v>
      </c>
      <c r="C6" s="415" t="s">
        <v>711</v>
      </c>
      <c r="D6" s="402" t="s">
        <v>712</v>
      </c>
      <c r="E6" s="402" t="s">
        <v>225</v>
      </c>
      <c r="F6" s="102" t="s">
        <v>144</v>
      </c>
      <c r="G6" s="393"/>
      <c r="H6" s="394" t="s">
        <v>782</v>
      </c>
      <c r="I6" s="395">
        <v>0</v>
      </c>
      <c r="J6" s="396"/>
      <c r="K6" s="397"/>
      <c r="L6" s="398">
        <v>3</v>
      </c>
      <c r="M6" s="398">
        <v>0</v>
      </c>
      <c r="N6" s="398">
        <v>7</v>
      </c>
      <c r="O6" s="399">
        <v>0</v>
      </c>
      <c r="P6" s="399">
        <v>0</v>
      </c>
      <c r="Q6" s="399">
        <v>9</v>
      </c>
      <c r="R6" s="399">
        <v>0</v>
      </c>
      <c r="S6" s="399">
        <v>0</v>
      </c>
      <c r="T6" s="398">
        <v>8</v>
      </c>
      <c r="U6" s="398">
        <v>0</v>
      </c>
      <c r="V6" s="398">
        <v>0</v>
      </c>
      <c r="W6" s="398">
        <v>0</v>
      </c>
      <c r="X6" s="398">
        <v>0</v>
      </c>
      <c r="Y6" s="398">
        <v>0</v>
      </c>
      <c r="Z6" s="398">
        <f t="shared" si="1"/>
        <v>27</v>
      </c>
      <c r="AA6" s="242"/>
      <c r="AB6" s="242"/>
      <c r="AC6" s="293"/>
      <c r="AD6" s="270"/>
      <c r="AE6">
        <v>12</v>
      </c>
      <c r="AF6" s="103">
        <v>3</v>
      </c>
      <c r="AG6" s="351">
        <v>7</v>
      </c>
      <c r="AH6">
        <v>2</v>
      </c>
      <c r="AI6">
        <v>4</v>
      </c>
      <c r="AJ6">
        <v>0</v>
      </c>
      <c r="AK6">
        <v>0</v>
      </c>
      <c r="AL6">
        <v>0</v>
      </c>
      <c r="AM6">
        <v>7</v>
      </c>
      <c r="AN6">
        <v>8</v>
      </c>
      <c r="AO6">
        <v>1</v>
      </c>
      <c r="AP6">
        <v>3</v>
      </c>
      <c r="AQ6">
        <v>2</v>
      </c>
      <c r="AR6">
        <v>2</v>
      </c>
    </row>
    <row r="7" spans="1:44" x14ac:dyDescent="0.3">
      <c r="A7" s="281"/>
      <c r="B7" s="281" t="s">
        <v>713</v>
      </c>
      <c r="C7" s="415" t="s">
        <v>714</v>
      </c>
      <c r="D7" s="402"/>
      <c r="E7" s="402" t="s">
        <v>498</v>
      </c>
      <c r="F7" s="102" t="s">
        <v>499</v>
      </c>
      <c r="G7" s="393"/>
      <c r="H7" s="394" t="s">
        <v>759</v>
      </c>
      <c r="I7" s="395">
        <v>0</v>
      </c>
      <c r="J7" s="396"/>
      <c r="K7" s="397"/>
      <c r="L7" s="398">
        <v>0</v>
      </c>
      <c r="M7" s="398">
        <v>0</v>
      </c>
      <c r="N7" s="398">
        <v>0</v>
      </c>
      <c r="O7" s="399">
        <v>0</v>
      </c>
      <c r="P7" s="399">
        <v>0</v>
      </c>
      <c r="Q7" s="399">
        <v>0</v>
      </c>
      <c r="R7" s="399">
        <v>0</v>
      </c>
      <c r="S7" s="399">
        <v>0</v>
      </c>
      <c r="T7" s="398">
        <v>0</v>
      </c>
      <c r="U7" s="398">
        <v>0</v>
      </c>
      <c r="V7" s="398">
        <v>0</v>
      </c>
      <c r="W7" s="398">
        <v>0</v>
      </c>
      <c r="X7" s="398">
        <v>0</v>
      </c>
      <c r="Y7" s="398">
        <v>0</v>
      </c>
      <c r="Z7" s="398">
        <f t="shared" si="1"/>
        <v>0</v>
      </c>
      <c r="AA7" s="242"/>
      <c r="AB7" s="242"/>
      <c r="AC7" s="293"/>
      <c r="AD7" s="270"/>
      <c r="AE7">
        <v>5</v>
      </c>
      <c r="AF7" s="103">
        <v>2</v>
      </c>
      <c r="AG7" s="351">
        <v>6</v>
      </c>
      <c r="AH7">
        <v>1</v>
      </c>
      <c r="AI7">
        <v>2</v>
      </c>
      <c r="AJ7">
        <v>0</v>
      </c>
      <c r="AK7">
        <v>0</v>
      </c>
      <c r="AL7">
        <v>0</v>
      </c>
      <c r="AM7">
        <v>7</v>
      </c>
      <c r="AN7">
        <v>8</v>
      </c>
      <c r="AO7">
        <v>0</v>
      </c>
      <c r="AP7">
        <v>3</v>
      </c>
      <c r="AQ7">
        <v>1</v>
      </c>
      <c r="AR7">
        <v>1</v>
      </c>
    </row>
    <row r="8" spans="1:44" x14ac:dyDescent="0.3">
      <c r="A8" s="281"/>
      <c r="B8" s="400" t="s">
        <v>800</v>
      </c>
      <c r="C8" s="401" t="s">
        <v>801</v>
      </c>
      <c r="D8" s="414"/>
      <c r="E8" s="402" t="s">
        <v>808</v>
      </c>
      <c r="F8" s="102" t="s">
        <v>809</v>
      </c>
      <c r="G8" s="393"/>
      <c r="H8" s="394" t="s">
        <v>810</v>
      </c>
      <c r="I8" s="395">
        <v>0</v>
      </c>
      <c r="J8" s="396"/>
      <c r="K8" s="397"/>
      <c r="L8" s="398">
        <v>5</v>
      </c>
      <c r="M8" s="398">
        <v>5</v>
      </c>
      <c r="N8" s="398">
        <v>0</v>
      </c>
      <c r="O8" s="399">
        <v>5</v>
      </c>
      <c r="P8" s="399">
        <v>0</v>
      </c>
      <c r="Q8" s="399">
        <v>0</v>
      </c>
      <c r="R8" s="399">
        <v>0</v>
      </c>
      <c r="S8" s="399">
        <v>0</v>
      </c>
      <c r="T8" s="398">
        <v>1</v>
      </c>
      <c r="U8" s="398">
        <v>0</v>
      </c>
      <c r="V8" s="398">
        <v>0</v>
      </c>
      <c r="W8" s="398">
        <v>0</v>
      </c>
      <c r="X8" s="398">
        <v>0</v>
      </c>
      <c r="Y8" s="398">
        <v>0</v>
      </c>
      <c r="Z8" s="398">
        <f t="shared" si="1"/>
        <v>11</v>
      </c>
      <c r="AA8" s="242"/>
      <c r="AB8" s="242"/>
      <c r="AC8" s="293"/>
      <c r="AD8" s="270"/>
      <c r="AE8">
        <v>3</v>
      </c>
      <c r="AF8" s="103">
        <v>0</v>
      </c>
      <c r="AG8" s="351">
        <v>6</v>
      </c>
      <c r="AH8">
        <v>0</v>
      </c>
      <c r="AI8">
        <v>1</v>
      </c>
      <c r="AJ8">
        <v>0</v>
      </c>
      <c r="AK8">
        <v>0</v>
      </c>
      <c r="AL8">
        <v>0</v>
      </c>
      <c r="AM8">
        <v>3</v>
      </c>
      <c r="AN8">
        <v>3</v>
      </c>
      <c r="AO8">
        <v>0</v>
      </c>
      <c r="AP8">
        <v>2</v>
      </c>
      <c r="AQ8">
        <v>0</v>
      </c>
      <c r="AR8">
        <v>0</v>
      </c>
    </row>
    <row r="9" spans="1:44" x14ac:dyDescent="0.3">
      <c r="A9" s="281"/>
      <c r="B9" s="281" t="s">
        <v>715</v>
      </c>
      <c r="C9" s="418" t="s">
        <v>822</v>
      </c>
      <c r="D9" s="402"/>
      <c r="E9" s="402" t="s">
        <v>826</v>
      </c>
      <c r="F9" s="102" t="s">
        <v>827</v>
      </c>
      <c r="G9" s="393"/>
      <c r="H9" s="394" t="s">
        <v>828</v>
      </c>
      <c r="I9" s="395">
        <v>0</v>
      </c>
      <c r="J9" s="396"/>
      <c r="K9" s="397"/>
      <c r="L9" s="398">
        <v>3</v>
      </c>
      <c r="M9" s="398">
        <v>3</v>
      </c>
      <c r="N9" s="398">
        <v>6</v>
      </c>
      <c r="O9" s="399">
        <v>0</v>
      </c>
      <c r="P9" s="399">
        <v>0</v>
      </c>
      <c r="Q9" s="399">
        <v>0</v>
      </c>
      <c r="R9" s="399">
        <v>0</v>
      </c>
      <c r="S9" s="399">
        <v>0</v>
      </c>
      <c r="T9" s="398">
        <v>0</v>
      </c>
      <c r="U9" s="398">
        <v>0</v>
      </c>
      <c r="V9" s="398">
        <v>0</v>
      </c>
      <c r="W9" s="398">
        <v>0</v>
      </c>
      <c r="X9" s="398">
        <v>0</v>
      </c>
      <c r="Y9" s="398">
        <v>0</v>
      </c>
      <c r="Z9" s="398">
        <f t="shared" si="1"/>
        <v>9</v>
      </c>
      <c r="AA9" s="242"/>
      <c r="AB9" s="242"/>
      <c r="AC9" s="293"/>
      <c r="AD9" s="270"/>
      <c r="AE9">
        <v>3</v>
      </c>
      <c r="AF9" s="103">
        <v>0</v>
      </c>
      <c r="AG9" s="351">
        <v>5</v>
      </c>
      <c r="AH9">
        <v>0</v>
      </c>
      <c r="AI9">
        <v>1</v>
      </c>
      <c r="AJ9">
        <v>0</v>
      </c>
      <c r="AK9">
        <v>0</v>
      </c>
      <c r="AL9">
        <v>0</v>
      </c>
      <c r="AM9">
        <v>3</v>
      </c>
      <c r="AN9">
        <v>2</v>
      </c>
      <c r="AO9">
        <v>0</v>
      </c>
      <c r="AP9">
        <v>2</v>
      </c>
      <c r="AQ9">
        <v>0</v>
      </c>
      <c r="AR9">
        <v>0</v>
      </c>
    </row>
    <row r="10" spans="1:44" x14ac:dyDescent="0.3">
      <c r="A10" s="281"/>
      <c r="B10" s="400" t="s">
        <v>908</v>
      </c>
      <c r="C10" s="401" t="s">
        <v>722</v>
      </c>
      <c r="D10" s="414"/>
      <c r="E10" s="402" t="s">
        <v>909</v>
      </c>
      <c r="F10" s="102" t="s">
        <v>910</v>
      </c>
      <c r="G10" s="393"/>
      <c r="H10" s="394" t="s">
        <v>911</v>
      </c>
      <c r="I10" s="395">
        <v>0</v>
      </c>
      <c r="J10" s="396"/>
      <c r="K10" s="397"/>
      <c r="L10" s="398">
        <v>0</v>
      </c>
      <c r="M10" s="398">
        <v>0</v>
      </c>
      <c r="N10" s="398">
        <v>0</v>
      </c>
      <c r="O10" s="399">
        <v>0</v>
      </c>
      <c r="P10" s="399">
        <v>1</v>
      </c>
      <c r="Q10" s="399">
        <v>0</v>
      </c>
      <c r="R10" s="399">
        <v>0</v>
      </c>
      <c r="S10" s="399">
        <v>0</v>
      </c>
      <c r="T10" s="398">
        <v>0</v>
      </c>
      <c r="U10" s="398">
        <v>0</v>
      </c>
      <c r="V10" s="398">
        <v>0</v>
      </c>
      <c r="W10" s="398">
        <v>0</v>
      </c>
      <c r="X10" s="398">
        <v>0</v>
      </c>
      <c r="Y10" s="398">
        <v>0</v>
      </c>
      <c r="Z10" s="398">
        <f t="shared" si="1"/>
        <v>1</v>
      </c>
      <c r="AA10" s="242"/>
      <c r="AB10" s="242"/>
      <c r="AC10" s="293"/>
      <c r="AD10" s="270"/>
      <c r="AE10">
        <v>3</v>
      </c>
      <c r="AF10" s="103">
        <v>0</v>
      </c>
      <c r="AG10" s="351">
        <v>3</v>
      </c>
      <c r="AH10">
        <v>0</v>
      </c>
      <c r="AI10">
        <v>0</v>
      </c>
      <c r="AJ10">
        <v>0</v>
      </c>
      <c r="AK10">
        <v>0</v>
      </c>
      <c r="AL10">
        <v>0</v>
      </c>
      <c r="AM10">
        <v>2</v>
      </c>
      <c r="AN10">
        <v>2</v>
      </c>
      <c r="AO10">
        <v>0</v>
      </c>
      <c r="AP10">
        <v>1</v>
      </c>
      <c r="AQ10">
        <v>0</v>
      </c>
      <c r="AR10">
        <v>0</v>
      </c>
    </row>
    <row r="11" spans="1:44" x14ac:dyDescent="0.3">
      <c r="A11" s="281"/>
      <c r="B11" s="400" t="s">
        <v>716</v>
      </c>
      <c r="C11" s="401" t="s">
        <v>708</v>
      </c>
      <c r="D11" s="414" t="s">
        <v>712</v>
      </c>
      <c r="E11" s="402" t="s">
        <v>212</v>
      </c>
      <c r="F11" s="102" t="s">
        <v>8</v>
      </c>
      <c r="G11" s="393"/>
      <c r="H11" s="394" t="s">
        <v>760</v>
      </c>
      <c r="I11" s="395">
        <v>0</v>
      </c>
      <c r="J11" s="396"/>
      <c r="K11" s="397"/>
      <c r="L11" s="398">
        <v>28</v>
      </c>
      <c r="M11" s="398">
        <v>0</v>
      </c>
      <c r="N11" s="398">
        <v>14</v>
      </c>
      <c r="O11" s="399">
        <v>0</v>
      </c>
      <c r="P11" s="399">
        <v>0</v>
      </c>
      <c r="Q11" s="399">
        <v>0</v>
      </c>
      <c r="R11" s="399">
        <v>0</v>
      </c>
      <c r="S11" s="399">
        <v>0</v>
      </c>
      <c r="T11" s="398">
        <v>0</v>
      </c>
      <c r="U11" s="398">
        <v>0</v>
      </c>
      <c r="V11" s="398">
        <v>0</v>
      </c>
      <c r="W11" s="398">
        <v>0</v>
      </c>
      <c r="X11" s="398">
        <v>3</v>
      </c>
      <c r="Y11" s="398">
        <v>0</v>
      </c>
      <c r="Z11" s="398">
        <f t="shared" si="1"/>
        <v>45</v>
      </c>
      <c r="AA11" s="242"/>
      <c r="AB11" s="242"/>
      <c r="AC11" s="293"/>
      <c r="AD11" s="270"/>
      <c r="AE11">
        <v>3</v>
      </c>
      <c r="AF11" s="103">
        <v>0</v>
      </c>
      <c r="AG11" s="351">
        <v>3</v>
      </c>
      <c r="AH11">
        <v>0</v>
      </c>
      <c r="AI11">
        <v>0</v>
      </c>
      <c r="AJ11">
        <v>0</v>
      </c>
      <c r="AK11">
        <v>0</v>
      </c>
      <c r="AL11">
        <v>0</v>
      </c>
      <c r="AM11">
        <v>2</v>
      </c>
      <c r="AN11">
        <v>1</v>
      </c>
      <c r="AO11">
        <v>0</v>
      </c>
      <c r="AP11">
        <v>1</v>
      </c>
      <c r="AQ11">
        <v>0</v>
      </c>
      <c r="AR11">
        <v>0</v>
      </c>
    </row>
    <row r="12" spans="1:44" x14ac:dyDescent="0.3">
      <c r="A12" s="281"/>
      <c r="B12" s="400" t="s">
        <v>802</v>
      </c>
      <c r="C12" s="401" t="s">
        <v>803</v>
      </c>
      <c r="D12" s="414"/>
      <c r="E12" s="402" t="s">
        <v>811</v>
      </c>
      <c r="F12" s="102" t="s">
        <v>812</v>
      </c>
      <c r="G12" s="393"/>
      <c r="H12" s="394" t="s">
        <v>813</v>
      </c>
      <c r="I12" s="395">
        <v>0</v>
      </c>
      <c r="J12" s="396"/>
      <c r="K12" s="397"/>
      <c r="L12" s="398">
        <v>0</v>
      </c>
      <c r="M12" s="398">
        <v>0</v>
      </c>
      <c r="N12" s="398">
        <v>0</v>
      </c>
      <c r="O12" s="399">
        <v>0</v>
      </c>
      <c r="P12" s="399">
        <v>0</v>
      </c>
      <c r="Q12" s="399">
        <v>0</v>
      </c>
      <c r="R12" s="399">
        <v>0</v>
      </c>
      <c r="S12" s="399">
        <v>0</v>
      </c>
      <c r="T12" s="398">
        <v>0</v>
      </c>
      <c r="U12" s="398">
        <v>0</v>
      </c>
      <c r="V12" s="398">
        <v>0</v>
      </c>
      <c r="W12" s="398">
        <v>3</v>
      </c>
      <c r="X12" s="398">
        <v>0</v>
      </c>
      <c r="Y12" s="398">
        <v>0</v>
      </c>
      <c r="Z12" s="398">
        <f t="shared" si="1"/>
        <v>3</v>
      </c>
      <c r="AA12" s="242"/>
      <c r="AB12" s="242"/>
      <c r="AC12" s="293"/>
      <c r="AD12" s="270"/>
      <c r="AE12">
        <v>0</v>
      </c>
      <c r="AF12" s="103">
        <v>0</v>
      </c>
      <c r="AG12" s="351">
        <v>0</v>
      </c>
      <c r="AH12">
        <v>0</v>
      </c>
      <c r="AI12">
        <v>0</v>
      </c>
      <c r="AJ12">
        <v>0</v>
      </c>
      <c r="AK12">
        <v>0</v>
      </c>
      <c r="AL12">
        <v>0</v>
      </c>
      <c r="AM12">
        <v>0</v>
      </c>
      <c r="AN12">
        <v>0</v>
      </c>
      <c r="AO12">
        <v>0</v>
      </c>
      <c r="AP12">
        <v>0</v>
      </c>
      <c r="AQ12">
        <v>0</v>
      </c>
      <c r="AR12">
        <v>0</v>
      </c>
    </row>
    <row r="13" spans="1:44" x14ac:dyDescent="0.3">
      <c r="A13" s="281"/>
      <c r="B13" s="281" t="s">
        <v>717</v>
      </c>
      <c r="C13" s="415" t="s">
        <v>718</v>
      </c>
      <c r="D13" s="402"/>
      <c r="E13" s="402" t="s">
        <v>233</v>
      </c>
      <c r="F13" s="102" t="s">
        <v>236</v>
      </c>
      <c r="G13" s="393"/>
      <c r="H13" s="394" t="s">
        <v>761</v>
      </c>
      <c r="I13" s="395">
        <v>0</v>
      </c>
      <c r="J13" s="396"/>
      <c r="K13" s="397"/>
      <c r="L13" s="398">
        <v>0</v>
      </c>
      <c r="M13" s="398">
        <v>0</v>
      </c>
      <c r="N13" s="398">
        <v>0</v>
      </c>
      <c r="O13" s="399">
        <v>0</v>
      </c>
      <c r="P13" s="399">
        <v>2</v>
      </c>
      <c r="Q13" s="399">
        <v>0</v>
      </c>
      <c r="R13" s="399">
        <v>0</v>
      </c>
      <c r="S13" s="399">
        <v>0</v>
      </c>
      <c r="T13" s="398">
        <v>0</v>
      </c>
      <c r="U13" s="398">
        <v>0</v>
      </c>
      <c r="V13" s="398">
        <v>0</v>
      </c>
      <c r="W13" s="398">
        <v>0</v>
      </c>
      <c r="X13" s="398">
        <v>0</v>
      </c>
      <c r="Y13" s="398">
        <v>3</v>
      </c>
      <c r="Z13" s="398">
        <f t="shared" si="1"/>
        <v>5</v>
      </c>
      <c r="AA13" s="242"/>
      <c r="AB13" s="242"/>
      <c r="AC13" s="293"/>
      <c r="AD13" s="270"/>
      <c r="AE13">
        <v>0</v>
      </c>
      <c r="AF13" s="103">
        <v>0</v>
      </c>
      <c r="AG13" s="351">
        <v>0</v>
      </c>
      <c r="AH13">
        <v>0</v>
      </c>
      <c r="AI13">
        <v>0</v>
      </c>
      <c r="AJ13">
        <v>0</v>
      </c>
      <c r="AK13">
        <v>0</v>
      </c>
      <c r="AL13">
        <v>0</v>
      </c>
      <c r="AM13">
        <v>0</v>
      </c>
      <c r="AN13">
        <v>0</v>
      </c>
      <c r="AO13">
        <v>0</v>
      </c>
      <c r="AP13">
        <v>0</v>
      </c>
      <c r="AQ13">
        <v>0</v>
      </c>
      <c r="AR13">
        <v>0</v>
      </c>
    </row>
    <row r="14" spans="1:44" x14ac:dyDescent="0.3">
      <c r="A14" s="281"/>
      <c r="B14" s="281" t="s">
        <v>719</v>
      </c>
      <c r="C14" s="415" t="s">
        <v>720</v>
      </c>
      <c r="D14" s="402"/>
      <c r="E14" s="402" t="s">
        <v>213</v>
      </c>
      <c r="F14" s="102" t="s">
        <v>139</v>
      </c>
      <c r="G14" s="393"/>
      <c r="H14" s="394" t="s">
        <v>762</v>
      </c>
      <c r="I14" s="395">
        <v>0</v>
      </c>
      <c r="J14" s="396"/>
      <c r="K14" s="397"/>
      <c r="L14" s="398">
        <v>0</v>
      </c>
      <c r="M14" s="398">
        <v>0</v>
      </c>
      <c r="N14" s="398">
        <v>0</v>
      </c>
      <c r="O14" s="399">
        <v>0</v>
      </c>
      <c r="P14" s="399">
        <v>0</v>
      </c>
      <c r="Q14" s="399">
        <v>0</v>
      </c>
      <c r="R14" s="399">
        <v>0</v>
      </c>
      <c r="S14" s="399">
        <v>0</v>
      </c>
      <c r="T14" s="398">
        <v>7</v>
      </c>
      <c r="U14" s="398">
        <v>0</v>
      </c>
      <c r="V14" s="398">
        <v>7</v>
      </c>
      <c r="W14" s="398">
        <v>0</v>
      </c>
      <c r="X14" s="398">
        <v>0</v>
      </c>
      <c r="Y14" s="398">
        <v>0</v>
      </c>
      <c r="Z14" s="398">
        <f t="shared" si="1"/>
        <v>14</v>
      </c>
      <c r="AA14" s="242"/>
      <c r="AB14" s="242"/>
      <c r="AC14" s="293"/>
      <c r="AD14" s="270"/>
      <c r="AE14">
        <v>0</v>
      </c>
      <c r="AF14" s="103">
        <v>0</v>
      </c>
      <c r="AG14" s="351">
        <v>0</v>
      </c>
      <c r="AH14">
        <v>0</v>
      </c>
      <c r="AI14">
        <v>0</v>
      </c>
      <c r="AJ14">
        <v>0</v>
      </c>
      <c r="AK14">
        <v>0</v>
      </c>
      <c r="AL14">
        <v>0</v>
      </c>
      <c r="AM14">
        <v>0</v>
      </c>
      <c r="AN14">
        <v>0</v>
      </c>
      <c r="AO14">
        <v>0</v>
      </c>
      <c r="AP14">
        <v>0</v>
      </c>
      <c r="AQ14">
        <v>0</v>
      </c>
      <c r="AR14">
        <v>0</v>
      </c>
    </row>
    <row r="15" spans="1:44" x14ac:dyDescent="0.3">
      <c r="A15" s="281"/>
      <c r="B15" s="281" t="s">
        <v>721</v>
      </c>
      <c r="C15" s="415" t="s">
        <v>722</v>
      </c>
      <c r="D15" s="402"/>
      <c r="E15" s="402" t="s">
        <v>763</v>
      </c>
      <c r="F15" s="102" t="s">
        <v>531</v>
      </c>
      <c r="G15" s="393"/>
      <c r="H15" s="394" t="s">
        <v>764</v>
      </c>
      <c r="I15" s="395">
        <v>0</v>
      </c>
      <c r="J15" s="396"/>
      <c r="K15" s="397"/>
      <c r="L15" s="398">
        <v>0</v>
      </c>
      <c r="M15" s="398">
        <v>0</v>
      </c>
      <c r="N15" s="398">
        <v>0</v>
      </c>
      <c r="O15" s="399">
        <v>0</v>
      </c>
      <c r="P15" s="399">
        <v>0</v>
      </c>
      <c r="Q15" s="399">
        <v>0</v>
      </c>
      <c r="R15" s="399">
        <v>0</v>
      </c>
      <c r="S15" s="399">
        <v>0</v>
      </c>
      <c r="T15" s="398">
        <v>0</v>
      </c>
      <c r="U15" s="398">
        <v>0</v>
      </c>
      <c r="V15" s="398">
        <v>0</v>
      </c>
      <c r="W15" s="398">
        <v>0</v>
      </c>
      <c r="X15" s="398">
        <v>0</v>
      </c>
      <c r="Y15" s="398">
        <v>0</v>
      </c>
      <c r="Z15" s="398">
        <f t="shared" si="1"/>
        <v>0</v>
      </c>
      <c r="AA15" s="242"/>
      <c r="AB15" s="242"/>
      <c r="AC15" s="293"/>
      <c r="AD15" s="270"/>
      <c r="AE15">
        <v>0</v>
      </c>
      <c r="AF15" s="103">
        <v>0</v>
      </c>
      <c r="AG15" s="351">
        <v>0</v>
      </c>
      <c r="AH15">
        <v>0</v>
      </c>
      <c r="AI15">
        <v>0</v>
      </c>
      <c r="AJ15">
        <v>0</v>
      </c>
      <c r="AK15">
        <v>0</v>
      </c>
      <c r="AL15">
        <v>0</v>
      </c>
      <c r="AM15">
        <v>0</v>
      </c>
      <c r="AN15">
        <v>0</v>
      </c>
      <c r="AO15">
        <v>0</v>
      </c>
      <c r="AP15">
        <v>0</v>
      </c>
      <c r="AQ15">
        <v>0</v>
      </c>
      <c r="AR15">
        <v>0</v>
      </c>
    </row>
    <row r="16" spans="1:44" x14ac:dyDescent="0.3">
      <c r="A16" s="281"/>
      <c r="B16" s="281" t="s">
        <v>784</v>
      </c>
      <c r="C16" s="415" t="s">
        <v>785</v>
      </c>
      <c r="D16" s="402" t="s">
        <v>712</v>
      </c>
      <c r="E16" s="402" t="s">
        <v>765</v>
      </c>
      <c r="F16" s="102" t="s">
        <v>783</v>
      </c>
      <c r="G16" s="393"/>
      <c r="H16" s="394" t="s">
        <v>786</v>
      </c>
      <c r="I16" s="395">
        <v>0</v>
      </c>
      <c r="J16" s="396"/>
      <c r="K16" s="397"/>
      <c r="L16" s="398">
        <v>12</v>
      </c>
      <c r="M16" s="398">
        <v>0</v>
      </c>
      <c r="N16" s="398">
        <v>8</v>
      </c>
      <c r="O16" s="399">
        <v>0</v>
      </c>
      <c r="P16" s="399">
        <v>0</v>
      </c>
      <c r="Q16" s="399">
        <v>0</v>
      </c>
      <c r="R16" s="399">
        <v>0</v>
      </c>
      <c r="S16" s="399">
        <v>0</v>
      </c>
      <c r="T16" s="398">
        <v>2</v>
      </c>
      <c r="U16" s="398">
        <v>0</v>
      </c>
      <c r="V16" s="398">
        <v>0</v>
      </c>
      <c r="W16" s="398">
        <v>0</v>
      </c>
      <c r="X16" s="398">
        <v>0</v>
      </c>
      <c r="Y16" s="398">
        <v>0</v>
      </c>
      <c r="Z16" s="398">
        <f t="shared" si="1"/>
        <v>22</v>
      </c>
      <c r="AA16" s="242"/>
      <c r="AB16" s="242"/>
      <c r="AC16" s="293"/>
      <c r="AD16" s="270"/>
      <c r="AE16">
        <v>0</v>
      </c>
      <c r="AF16" s="103">
        <v>0</v>
      </c>
      <c r="AG16" s="351">
        <v>0</v>
      </c>
      <c r="AH16">
        <v>0</v>
      </c>
      <c r="AI16">
        <v>0</v>
      </c>
      <c r="AJ16">
        <v>0</v>
      </c>
      <c r="AK16">
        <v>0</v>
      </c>
      <c r="AL16">
        <v>0</v>
      </c>
      <c r="AM16">
        <v>0</v>
      </c>
      <c r="AN16">
        <v>0</v>
      </c>
      <c r="AO16">
        <v>0</v>
      </c>
      <c r="AP16">
        <v>0</v>
      </c>
      <c r="AQ16">
        <v>0</v>
      </c>
      <c r="AR16">
        <v>0</v>
      </c>
    </row>
    <row r="17" spans="1:44" x14ac:dyDescent="0.3">
      <c r="A17" s="281"/>
      <c r="B17" s="400" t="s">
        <v>724</v>
      </c>
      <c r="C17" s="401" t="s">
        <v>725</v>
      </c>
      <c r="D17" s="402"/>
      <c r="E17" s="402" t="s">
        <v>870</v>
      </c>
      <c r="F17" s="102" t="s">
        <v>871</v>
      </c>
      <c r="G17" s="393"/>
      <c r="H17" s="394" t="s">
        <v>872</v>
      </c>
      <c r="I17" s="395">
        <v>0</v>
      </c>
      <c r="J17" s="396"/>
      <c r="K17" s="397"/>
      <c r="L17" s="398">
        <v>0</v>
      </c>
      <c r="M17" s="398">
        <v>0</v>
      </c>
      <c r="N17" s="398">
        <v>0</v>
      </c>
      <c r="O17" s="399">
        <v>0</v>
      </c>
      <c r="P17" s="399">
        <v>0</v>
      </c>
      <c r="Q17" s="399">
        <v>0</v>
      </c>
      <c r="R17" s="399">
        <v>0</v>
      </c>
      <c r="S17" s="399">
        <v>0</v>
      </c>
      <c r="T17" s="398">
        <v>0</v>
      </c>
      <c r="U17" s="398">
        <v>0</v>
      </c>
      <c r="V17" s="398">
        <v>0</v>
      </c>
      <c r="W17" s="398">
        <v>1</v>
      </c>
      <c r="X17" s="398">
        <v>0</v>
      </c>
      <c r="Y17" s="398">
        <v>0</v>
      </c>
      <c r="Z17" s="398">
        <f t="shared" si="1"/>
        <v>1</v>
      </c>
      <c r="AA17" s="242"/>
      <c r="AB17" s="242"/>
      <c r="AC17" s="293"/>
      <c r="AD17" s="270"/>
      <c r="AE17">
        <v>0</v>
      </c>
      <c r="AF17" s="103">
        <v>0</v>
      </c>
      <c r="AG17" s="351">
        <v>0</v>
      </c>
      <c r="AH17">
        <v>0</v>
      </c>
      <c r="AI17">
        <v>0</v>
      </c>
      <c r="AJ17">
        <v>0</v>
      </c>
      <c r="AK17">
        <v>0</v>
      </c>
      <c r="AL17">
        <v>0</v>
      </c>
      <c r="AM17">
        <v>0</v>
      </c>
      <c r="AN17">
        <v>0</v>
      </c>
      <c r="AO17">
        <v>0</v>
      </c>
      <c r="AP17">
        <v>0</v>
      </c>
      <c r="AQ17">
        <v>0</v>
      </c>
      <c r="AR17">
        <v>0</v>
      </c>
    </row>
    <row r="18" spans="1:44" x14ac:dyDescent="0.3">
      <c r="A18" s="281"/>
      <c r="B18" s="400" t="s">
        <v>724</v>
      </c>
      <c r="C18" s="401" t="s">
        <v>729</v>
      </c>
      <c r="D18" s="414"/>
      <c r="E18" s="402" t="s">
        <v>766</v>
      </c>
      <c r="F18" s="102" t="s">
        <v>814</v>
      </c>
      <c r="G18" s="393"/>
      <c r="H18" s="394" t="s">
        <v>815</v>
      </c>
      <c r="I18" s="395">
        <v>0</v>
      </c>
      <c r="J18" s="396"/>
      <c r="K18" s="397"/>
      <c r="L18" s="398">
        <v>0</v>
      </c>
      <c r="M18" s="398">
        <v>0</v>
      </c>
      <c r="N18" s="398">
        <v>0</v>
      </c>
      <c r="O18" s="399">
        <v>0</v>
      </c>
      <c r="P18" s="399">
        <v>0</v>
      </c>
      <c r="Q18" s="399">
        <v>0</v>
      </c>
      <c r="R18" s="399">
        <v>0</v>
      </c>
      <c r="S18" s="399">
        <v>0</v>
      </c>
      <c r="T18" s="398">
        <v>2</v>
      </c>
      <c r="U18" s="398">
        <v>0</v>
      </c>
      <c r="V18" s="398">
        <v>3</v>
      </c>
      <c r="W18" s="398">
        <v>0</v>
      </c>
      <c r="X18" s="398">
        <v>0</v>
      </c>
      <c r="Y18" s="398">
        <v>0</v>
      </c>
      <c r="Z18" s="398">
        <f t="shared" si="1"/>
        <v>5</v>
      </c>
      <c r="AA18" s="242"/>
      <c r="AB18" s="242"/>
      <c r="AC18" s="293"/>
      <c r="AD18" s="270"/>
      <c r="AE18">
        <v>0</v>
      </c>
      <c r="AF18" s="103">
        <v>0</v>
      </c>
      <c r="AG18" s="351">
        <v>0</v>
      </c>
      <c r="AH18">
        <v>0</v>
      </c>
      <c r="AI18">
        <v>0</v>
      </c>
      <c r="AJ18">
        <v>0</v>
      </c>
      <c r="AK18">
        <v>0</v>
      </c>
      <c r="AL18">
        <v>0</v>
      </c>
      <c r="AM18">
        <v>0</v>
      </c>
      <c r="AN18">
        <v>0</v>
      </c>
      <c r="AO18">
        <v>0</v>
      </c>
      <c r="AP18">
        <v>0</v>
      </c>
      <c r="AQ18">
        <v>0</v>
      </c>
      <c r="AR18">
        <v>0</v>
      </c>
    </row>
    <row r="19" spans="1:44" x14ac:dyDescent="0.3">
      <c r="A19" s="281"/>
      <c r="B19" s="281" t="s">
        <v>726</v>
      </c>
      <c r="C19" s="415" t="s">
        <v>727</v>
      </c>
      <c r="D19" s="402"/>
      <c r="E19" s="402" t="s">
        <v>214</v>
      </c>
      <c r="F19" s="102" t="s">
        <v>141</v>
      </c>
      <c r="G19" s="393"/>
      <c r="H19" s="394" t="s">
        <v>767</v>
      </c>
      <c r="I19" s="395">
        <v>0</v>
      </c>
      <c r="J19" s="396"/>
      <c r="K19" s="397"/>
      <c r="L19" s="398">
        <v>3</v>
      </c>
      <c r="M19" s="398">
        <v>3</v>
      </c>
      <c r="N19" s="398">
        <v>0</v>
      </c>
      <c r="O19" s="399">
        <v>0</v>
      </c>
      <c r="P19" s="399">
        <v>0</v>
      </c>
      <c r="Q19" s="399">
        <v>0</v>
      </c>
      <c r="R19" s="399">
        <v>0</v>
      </c>
      <c r="S19" s="399">
        <v>0</v>
      </c>
      <c r="T19" s="398">
        <v>1</v>
      </c>
      <c r="U19" s="398">
        <v>8</v>
      </c>
      <c r="V19" s="398">
        <v>0</v>
      </c>
      <c r="W19" s="398">
        <v>0</v>
      </c>
      <c r="X19" s="398">
        <v>0</v>
      </c>
      <c r="Y19" s="398">
        <v>0</v>
      </c>
      <c r="Z19" s="398">
        <f t="shared" si="1"/>
        <v>12</v>
      </c>
      <c r="AA19" s="242"/>
      <c r="AB19" s="242"/>
      <c r="AC19" s="293"/>
      <c r="AD19" s="270"/>
      <c r="AE19">
        <v>0</v>
      </c>
      <c r="AF19" s="103">
        <v>0</v>
      </c>
      <c r="AG19" s="351">
        <v>0</v>
      </c>
      <c r="AH19">
        <v>0</v>
      </c>
      <c r="AI19">
        <v>0</v>
      </c>
      <c r="AJ19">
        <v>0</v>
      </c>
      <c r="AK19">
        <v>0</v>
      </c>
      <c r="AL19">
        <v>0</v>
      </c>
      <c r="AM19">
        <v>0</v>
      </c>
      <c r="AN19">
        <v>0</v>
      </c>
      <c r="AO19">
        <v>0</v>
      </c>
      <c r="AP19">
        <v>0</v>
      </c>
      <c r="AQ19">
        <v>0</v>
      </c>
      <c r="AR19">
        <v>0</v>
      </c>
    </row>
    <row r="20" spans="1:44" x14ac:dyDescent="0.3">
      <c r="A20" s="281"/>
      <c r="B20" s="281" t="s">
        <v>728</v>
      </c>
      <c r="C20" s="415" t="s">
        <v>729</v>
      </c>
      <c r="D20" s="402"/>
      <c r="E20" s="402" t="s">
        <v>501</v>
      </c>
      <c r="F20" s="102" t="s">
        <v>502</v>
      </c>
      <c r="G20" s="393"/>
      <c r="H20" s="394" t="s">
        <v>768</v>
      </c>
      <c r="I20" s="395">
        <v>0</v>
      </c>
      <c r="J20" s="396"/>
      <c r="K20" s="397"/>
      <c r="L20" s="398">
        <v>0</v>
      </c>
      <c r="M20" s="398">
        <v>0</v>
      </c>
      <c r="N20" s="398">
        <v>0</v>
      </c>
      <c r="O20" s="399">
        <v>0</v>
      </c>
      <c r="P20" s="399">
        <v>0</v>
      </c>
      <c r="Q20" s="399">
        <v>0</v>
      </c>
      <c r="R20" s="399">
        <v>0</v>
      </c>
      <c r="S20" s="399">
        <v>0</v>
      </c>
      <c r="T20" s="398">
        <v>0</v>
      </c>
      <c r="U20" s="398">
        <v>0</v>
      </c>
      <c r="V20" s="398">
        <v>0</v>
      </c>
      <c r="W20" s="398">
        <v>5</v>
      </c>
      <c r="X20" s="398">
        <v>0</v>
      </c>
      <c r="Y20" s="398">
        <v>0</v>
      </c>
      <c r="Z20" s="398">
        <f t="shared" si="1"/>
        <v>5</v>
      </c>
      <c r="AA20" s="242"/>
      <c r="AB20" s="242"/>
      <c r="AC20" s="293"/>
      <c r="AD20" s="270"/>
      <c r="AE20">
        <v>0</v>
      </c>
      <c r="AF20" s="103">
        <v>0</v>
      </c>
      <c r="AG20" s="351">
        <v>0</v>
      </c>
      <c r="AH20">
        <v>0</v>
      </c>
      <c r="AI20">
        <v>0</v>
      </c>
      <c r="AJ20">
        <v>0</v>
      </c>
      <c r="AK20">
        <v>0</v>
      </c>
      <c r="AL20">
        <v>0</v>
      </c>
      <c r="AM20">
        <v>0</v>
      </c>
      <c r="AN20">
        <v>0</v>
      </c>
      <c r="AO20">
        <v>0</v>
      </c>
      <c r="AP20">
        <v>0</v>
      </c>
      <c r="AQ20">
        <v>0</v>
      </c>
      <c r="AR20">
        <v>0</v>
      </c>
    </row>
    <row r="21" spans="1:44" x14ac:dyDescent="0.3">
      <c r="A21" s="281"/>
      <c r="B21" s="281" t="s">
        <v>730</v>
      </c>
      <c r="C21" s="415" t="s">
        <v>731</v>
      </c>
      <c r="D21" s="402" t="s">
        <v>712</v>
      </c>
      <c r="E21" s="402" t="s">
        <v>215</v>
      </c>
      <c r="F21" s="102" t="s">
        <v>11</v>
      </c>
      <c r="G21" s="393"/>
      <c r="H21" s="394" t="s">
        <v>769</v>
      </c>
      <c r="I21" s="395">
        <v>0</v>
      </c>
      <c r="J21" s="396"/>
      <c r="K21" s="397"/>
      <c r="L21" s="398">
        <v>3</v>
      </c>
      <c r="M21" s="398">
        <v>0</v>
      </c>
      <c r="N21" s="398">
        <v>1</v>
      </c>
      <c r="O21" s="399">
        <v>0</v>
      </c>
      <c r="P21" s="399">
        <v>6</v>
      </c>
      <c r="Q21" s="399">
        <v>0</v>
      </c>
      <c r="R21" s="399">
        <v>0</v>
      </c>
      <c r="S21" s="399">
        <v>0</v>
      </c>
      <c r="T21" s="398">
        <v>0</v>
      </c>
      <c r="U21" s="398">
        <v>0</v>
      </c>
      <c r="V21" s="398">
        <v>0</v>
      </c>
      <c r="W21" s="398">
        <v>0</v>
      </c>
      <c r="X21" s="398">
        <v>0</v>
      </c>
      <c r="Y21" s="398">
        <v>2</v>
      </c>
      <c r="Z21" s="398">
        <f t="shared" si="1"/>
        <v>12</v>
      </c>
      <c r="AA21" s="242"/>
      <c r="AB21" s="242"/>
      <c r="AC21" s="293"/>
      <c r="AD21" s="270"/>
      <c r="AE21">
        <v>0</v>
      </c>
      <c r="AF21" s="103">
        <v>0</v>
      </c>
      <c r="AG21" s="351">
        <v>0</v>
      </c>
      <c r="AH21">
        <v>0</v>
      </c>
      <c r="AI21">
        <v>0</v>
      </c>
      <c r="AJ21">
        <v>0</v>
      </c>
      <c r="AK21">
        <v>0</v>
      </c>
      <c r="AL21">
        <v>0</v>
      </c>
      <c r="AM21">
        <v>0</v>
      </c>
      <c r="AN21">
        <v>0</v>
      </c>
      <c r="AO21">
        <v>0</v>
      </c>
      <c r="AP21">
        <v>0</v>
      </c>
      <c r="AQ21">
        <v>0</v>
      </c>
      <c r="AR21">
        <v>0</v>
      </c>
    </row>
    <row r="22" spans="1:44" x14ac:dyDescent="0.3">
      <c r="A22" s="281"/>
      <c r="B22" s="400" t="s">
        <v>733</v>
      </c>
      <c r="C22" s="401" t="s">
        <v>734</v>
      </c>
      <c r="D22" s="402"/>
      <c r="E22" s="402" t="s">
        <v>829</v>
      </c>
      <c r="F22" s="102" t="s">
        <v>830</v>
      </c>
      <c r="G22" s="393"/>
      <c r="H22" s="394" t="s">
        <v>831</v>
      </c>
      <c r="I22" s="395">
        <v>0</v>
      </c>
      <c r="J22" s="396"/>
      <c r="K22" s="397"/>
      <c r="L22" s="398">
        <v>0</v>
      </c>
      <c r="M22" s="398">
        <v>0</v>
      </c>
      <c r="N22" s="398">
        <v>0</v>
      </c>
      <c r="O22" s="399">
        <v>0</v>
      </c>
      <c r="P22" s="399">
        <v>0</v>
      </c>
      <c r="Q22" s="399">
        <v>0</v>
      </c>
      <c r="R22" s="399">
        <v>0</v>
      </c>
      <c r="S22" s="399">
        <v>0</v>
      </c>
      <c r="T22" s="398">
        <v>0</v>
      </c>
      <c r="U22" s="398">
        <v>0</v>
      </c>
      <c r="V22" s="398">
        <v>0</v>
      </c>
      <c r="W22" s="398">
        <v>0</v>
      </c>
      <c r="X22" s="398">
        <v>0</v>
      </c>
      <c r="Y22" s="398">
        <v>0</v>
      </c>
      <c r="Z22" s="398">
        <f t="shared" si="1"/>
        <v>0</v>
      </c>
      <c r="AA22" s="242"/>
      <c r="AB22" s="242"/>
      <c r="AC22" s="293"/>
      <c r="AD22" s="270"/>
      <c r="AE22">
        <v>0</v>
      </c>
      <c r="AF22" s="103">
        <v>0</v>
      </c>
      <c r="AG22" s="351">
        <v>0</v>
      </c>
      <c r="AH22">
        <v>0</v>
      </c>
      <c r="AI22">
        <v>0</v>
      </c>
      <c r="AJ22">
        <v>0</v>
      </c>
      <c r="AK22">
        <v>0</v>
      </c>
      <c r="AL22">
        <v>0</v>
      </c>
      <c r="AM22">
        <v>0</v>
      </c>
      <c r="AN22">
        <v>0</v>
      </c>
      <c r="AO22">
        <v>0</v>
      </c>
      <c r="AP22">
        <v>0</v>
      </c>
      <c r="AQ22">
        <v>0</v>
      </c>
      <c r="AR22">
        <v>0</v>
      </c>
    </row>
    <row r="23" spans="1:44" x14ac:dyDescent="0.3">
      <c r="A23" s="281"/>
      <c r="B23" s="400" t="s">
        <v>707</v>
      </c>
      <c r="C23" s="401" t="s">
        <v>708</v>
      </c>
      <c r="D23" s="402" t="s">
        <v>712</v>
      </c>
      <c r="E23" s="402" t="s">
        <v>216</v>
      </c>
      <c r="F23" s="102" t="s">
        <v>9</v>
      </c>
      <c r="G23" s="393"/>
      <c r="H23" s="394" t="s">
        <v>709</v>
      </c>
      <c r="I23" s="395">
        <v>0</v>
      </c>
      <c r="J23" s="396"/>
      <c r="K23" s="397"/>
      <c r="L23" s="398">
        <v>2</v>
      </c>
      <c r="M23" s="398">
        <v>0</v>
      </c>
      <c r="N23" s="398">
        <v>0</v>
      </c>
      <c r="O23" s="399">
        <v>3</v>
      </c>
      <c r="P23" s="399">
        <v>0</v>
      </c>
      <c r="Q23" s="399">
        <v>0</v>
      </c>
      <c r="R23" s="399">
        <v>0</v>
      </c>
      <c r="S23" s="399">
        <v>0</v>
      </c>
      <c r="T23" s="398">
        <v>0</v>
      </c>
      <c r="U23" s="398">
        <v>0</v>
      </c>
      <c r="V23" s="398">
        <v>0</v>
      </c>
      <c r="W23" s="398">
        <v>0</v>
      </c>
      <c r="X23" s="398">
        <v>1</v>
      </c>
      <c r="Y23" s="398">
        <v>0</v>
      </c>
      <c r="Z23" s="398">
        <f t="shared" si="1"/>
        <v>6</v>
      </c>
      <c r="AA23" s="242"/>
      <c r="AB23" s="242"/>
      <c r="AC23" s="293"/>
      <c r="AD23" s="270"/>
      <c r="AE23">
        <v>0</v>
      </c>
      <c r="AF23" s="103">
        <v>0</v>
      </c>
      <c r="AG23" s="351">
        <v>0</v>
      </c>
      <c r="AH23">
        <v>0</v>
      </c>
      <c r="AI23">
        <v>0</v>
      </c>
      <c r="AJ23">
        <v>0</v>
      </c>
      <c r="AK23">
        <v>0</v>
      </c>
      <c r="AL23">
        <v>0</v>
      </c>
      <c r="AM23">
        <v>0</v>
      </c>
      <c r="AN23">
        <v>0</v>
      </c>
      <c r="AO23">
        <v>0</v>
      </c>
      <c r="AP23">
        <v>0</v>
      </c>
      <c r="AQ23">
        <v>0</v>
      </c>
      <c r="AR23">
        <v>0</v>
      </c>
    </row>
    <row r="24" spans="1:44" x14ac:dyDescent="0.3">
      <c r="A24" s="281"/>
      <c r="B24" s="281" t="s">
        <v>735</v>
      </c>
      <c r="C24" s="415" t="s">
        <v>736</v>
      </c>
      <c r="D24" s="402"/>
      <c r="E24" s="402" t="s">
        <v>832</v>
      </c>
      <c r="F24" s="102" t="s">
        <v>833</v>
      </c>
      <c r="G24" s="393"/>
      <c r="H24" s="394" t="s">
        <v>834</v>
      </c>
      <c r="I24" s="395">
        <v>0</v>
      </c>
      <c r="J24" s="396"/>
      <c r="K24" s="397"/>
      <c r="L24" s="398">
        <v>0</v>
      </c>
      <c r="M24" s="398">
        <v>0</v>
      </c>
      <c r="N24" s="398">
        <v>0</v>
      </c>
      <c r="O24" s="399">
        <v>0</v>
      </c>
      <c r="P24" s="399">
        <v>0</v>
      </c>
      <c r="Q24" s="399">
        <v>0</v>
      </c>
      <c r="R24" s="399">
        <v>0</v>
      </c>
      <c r="S24" s="399">
        <v>0</v>
      </c>
      <c r="T24" s="398">
        <v>0</v>
      </c>
      <c r="U24" s="398">
        <v>2</v>
      </c>
      <c r="V24" s="398">
        <v>0</v>
      </c>
      <c r="W24" s="398">
        <v>0</v>
      </c>
      <c r="X24" s="398">
        <v>0</v>
      </c>
      <c r="Y24" s="398">
        <v>0</v>
      </c>
      <c r="Z24" s="398">
        <f t="shared" si="1"/>
        <v>2</v>
      </c>
      <c r="AA24" s="242"/>
      <c r="AB24" s="242"/>
      <c r="AC24" s="293"/>
      <c r="AD24" s="270"/>
      <c r="AE24">
        <v>0</v>
      </c>
      <c r="AF24" s="103">
        <v>0</v>
      </c>
      <c r="AG24" s="351">
        <v>0</v>
      </c>
      <c r="AH24">
        <v>0</v>
      </c>
      <c r="AI24">
        <v>0</v>
      </c>
      <c r="AJ24">
        <v>0</v>
      </c>
      <c r="AK24">
        <v>0</v>
      </c>
      <c r="AL24">
        <v>0</v>
      </c>
      <c r="AM24">
        <v>0</v>
      </c>
      <c r="AN24">
        <v>0</v>
      </c>
      <c r="AO24">
        <v>0</v>
      </c>
      <c r="AP24">
        <v>0</v>
      </c>
      <c r="AQ24">
        <v>0</v>
      </c>
      <c r="AR24">
        <v>0</v>
      </c>
    </row>
    <row r="25" spans="1:44" x14ac:dyDescent="0.3">
      <c r="A25" s="281"/>
      <c r="B25" s="281" t="s">
        <v>737</v>
      </c>
      <c r="C25" s="415" t="s">
        <v>738</v>
      </c>
      <c r="D25" s="402"/>
      <c r="E25" s="402" t="s">
        <v>234</v>
      </c>
      <c r="F25" s="102" t="s">
        <v>339</v>
      </c>
      <c r="G25" s="393"/>
      <c r="H25" s="394" t="s">
        <v>770</v>
      </c>
      <c r="I25" s="395">
        <v>0</v>
      </c>
      <c r="J25" s="396"/>
      <c r="K25" s="397"/>
      <c r="L25" s="398">
        <v>0</v>
      </c>
      <c r="M25" s="398">
        <v>0</v>
      </c>
      <c r="N25" s="398">
        <v>0</v>
      </c>
      <c r="O25" s="399">
        <v>0</v>
      </c>
      <c r="P25" s="399">
        <v>0</v>
      </c>
      <c r="Q25" s="399">
        <v>0</v>
      </c>
      <c r="R25" s="399">
        <v>0</v>
      </c>
      <c r="S25" s="399">
        <v>0</v>
      </c>
      <c r="T25" s="398">
        <v>0</v>
      </c>
      <c r="U25" s="398">
        <v>0</v>
      </c>
      <c r="V25" s="398">
        <v>0</v>
      </c>
      <c r="W25" s="398">
        <v>0</v>
      </c>
      <c r="X25" s="398">
        <v>0</v>
      </c>
      <c r="Y25" s="398">
        <v>0</v>
      </c>
      <c r="Z25" s="398">
        <f t="shared" si="1"/>
        <v>0</v>
      </c>
      <c r="AA25" s="242"/>
      <c r="AB25" s="242"/>
      <c r="AC25" s="293"/>
      <c r="AD25" s="270"/>
      <c r="AE25">
        <v>0</v>
      </c>
      <c r="AF25" s="103">
        <v>0</v>
      </c>
      <c r="AG25" s="351">
        <v>0</v>
      </c>
      <c r="AH25">
        <v>0</v>
      </c>
      <c r="AI25">
        <v>0</v>
      </c>
      <c r="AJ25">
        <v>0</v>
      </c>
      <c r="AK25">
        <v>0</v>
      </c>
      <c r="AL25">
        <v>0</v>
      </c>
      <c r="AM25">
        <v>0</v>
      </c>
      <c r="AN25">
        <v>0</v>
      </c>
      <c r="AO25">
        <v>0</v>
      </c>
      <c r="AP25">
        <v>0</v>
      </c>
      <c r="AQ25">
        <v>0</v>
      </c>
      <c r="AR25">
        <v>0</v>
      </c>
    </row>
    <row r="26" spans="1:44" x14ac:dyDescent="0.3">
      <c r="A26" s="281"/>
      <c r="B26" s="281" t="s">
        <v>739</v>
      </c>
      <c r="C26" s="415" t="s">
        <v>729</v>
      </c>
      <c r="D26" s="402"/>
      <c r="E26" s="402" t="s">
        <v>844</v>
      </c>
      <c r="F26" s="102" t="s">
        <v>338</v>
      </c>
      <c r="G26" s="393"/>
      <c r="H26" s="394" t="s">
        <v>771</v>
      </c>
      <c r="I26" s="395">
        <v>0</v>
      </c>
      <c r="J26" s="396"/>
      <c r="K26" s="397"/>
      <c r="L26" s="398">
        <v>2</v>
      </c>
      <c r="M26" s="398">
        <v>2</v>
      </c>
      <c r="N26" s="398">
        <v>0</v>
      </c>
      <c r="O26" s="399">
        <v>0</v>
      </c>
      <c r="P26" s="399">
        <v>0</v>
      </c>
      <c r="Q26" s="399">
        <v>0</v>
      </c>
      <c r="R26" s="399">
        <v>0</v>
      </c>
      <c r="S26" s="399">
        <v>0</v>
      </c>
      <c r="T26" s="398">
        <v>0</v>
      </c>
      <c r="U26" s="398">
        <v>0</v>
      </c>
      <c r="V26" s="398">
        <v>0</v>
      </c>
      <c r="W26" s="398">
        <v>0</v>
      </c>
      <c r="X26" s="398">
        <v>0</v>
      </c>
      <c r="Y26" s="398">
        <v>0</v>
      </c>
      <c r="Z26" s="398">
        <f t="shared" si="1"/>
        <v>2</v>
      </c>
      <c r="AA26" s="242"/>
      <c r="AB26" s="242"/>
      <c r="AC26" s="293"/>
      <c r="AD26" s="270"/>
      <c r="AE26">
        <v>0</v>
      </c>
      <c r="AF26" s="103">
        <v>0</v>
      </c>
      <c r="AG26" s="351">
        <v>0</v>
      </c>
      <c r="AH26">
        <v>0</v>
      </c>
      <c r="AI26">
        <v>0</v>
      </c>
      <c r="AJ26">
        <v>0</v>
      </c>
      <c r="AK26">
        <v>0</v>
      </c>
      <c r="AL26">
        <v>0</v>
      </c>
      <c r="AM26">
        <v>0</v>
      </c>
      <c r="AN26">
        <v>0</v>
      </c>
      <c r="AO26">
        <v>0</v>
      </c>
      <c r="AP26">
        <v>0</v>
      </c>
      <c r="AQ26">
        <v>0</v>
      </c>
      <c r="AR26">
        <v>0</v>
      </c>
    </row>
    <row r="27" spans="1:44" x14ac:dyDescent="0.3">
      <c r="A27" s="281"/>
      <c r="B27" s="281" t="s">
        <v>740</v>
      </c>
      <c r="C27" s="415" t="s">
        <v>741</v>
      </c>
      <c r="D27" s="402"/>
      <c r="E27" s="402" t="s">
        <v>503</v>
      </c>
      <c r="F27" s="102" t="s">
        <v>504</v>
      </c>
      <c r="G27" s="393"/>
      <c r="H27" s="394" t="s">
        <v>772</v>
      </c>
      <c r="I27" s="395">
        <v>0</v>
      </c>
      <c r="J27" s="396"/>
      <c r="K27" s="397"/>
      <c r="L27" s="398">
        <v>0</v>
      </c>
      <c r="M27" s="398">
        <v>0</v>
      </c>
      <c r="N27" s="398">
        <v>0</v>
      </c>
      <c r="O27" s="399">
        <v>0</v>
      </c>
      <c r="P27" s="399">
        <v>0</v>
      </c>
      <c r="Q27" s="399">
        <v>0</v>
      </c>
      <c r="R27" s="399">
        <v>0</v>
      </c>
      <c r="S27" s="399">
        <v>0</v>
      </c>
      <c r="T27" s="398">
        <v>0</v>
      </c>
      <c r="U27" s="398">
        <v>0</v>
      </c>
      <c r="V27" s="398">
        <v>1</v>
      </c>
      <c r="W27" s="398">
        <v>0</v>
      </c>
      <c r="X27" s="398">
        <v>0</v>
      </c>
      <c r="Y27" s="398">
        <v>0</v>
      </c>
      <c r="Z27" s="398">
        <f t="shared" si="1"/>
        <v>1</v>
      </c>
      <c r="AA27" s="242"/>
      <c r="AB27" s="242"/>
      <c r="AC27" s="293"/>
      <c r="AD27" s="270"/>
      <c r="AE27">
        <v>0</v>
      </c>
      <c r="AF27" s="103">
        <v>0</v>
      </c>
      <c r="AG27" s="351">
        <v>0</v>
      </c>
      <c r="AH27">
        <v>0</v>
      </c>
      <c r="AI27">
        <v>0</v>
      </c>
      <c r="AJ27">
        <v>0</v>
      </c>
      <c r="AK27">
        <v>0</v>
      </c>
      <c r="AL27">
        <v>0</v>
      </c>
      <c r="AM27">
        <v>0</v>
      </c>
      <c r="AN27">
        <v>0</v>
      </c>
      <c r="AO27">
        <v>0</v>
      </c>
      <c r="AP27">
        <v>0</v>
      </c>
      <c r="AQ27">
        <v>0</v>
      </c>
      <c r="AR27">
        <v>0</v>
      </c>
    </row>
    <row r="28" spans="1:44" x14ac:dyDescent="0.3">
      <c r="A28" s="281"/>
      <c r="B28" s="281" t="s">
        <v>742</v>
      </c>
      <c r="C28" s="415" t="s">
        <v>743</v>
      </c>
      <c r="D28" s="402"/>
      <c r="E28" s="402" t="s">
        <v>217</v>
      </c>
      <c r="F28" s="102" t="s">
        <v>142</v>
      </c>
      <c r="G28" s="393"/>
      <c r="H28" s="394" t="s">
        <v>773</v>
      </c>
      <c r="I28" s="395">
        <v>0</v>
      </c>
      <c r="J28" s="396"/>
      <c r="K28" s="397"/>
      <c r="L28" s="398">
        <v>0</v>
      </c>
      <c r="M28" s="398">
        <v>0</v>
      </c>
      <c r="N28" s="398">
        <v>5</v>
      </c>
      <c r="O28" s="399">
        <v>0</v>
      </c>
      <c r="P28" s="399">
        <v>10</v>
      </c>
      <c r="Q28" s="399">
        <v>0</v>
      </c>
      <c r="R28" s="399">
        <v>0</v>
      </c>
      <c r="S28" s="399">
        <v>0</v>
      </c>
      <c r="T28" s="398">
        <v>8</v>
      </c>
      <c r="U28" s="398">
        <v>1</v>
      </c>
      <c r="V28" s="398">
        <v>0</v>
      </c>
      <c r="W28" s="398">
        <v>0</v>
      </c>
      <c r="X28" s="398">
        <v>0</v>
      </c>
      <c r="Y28" s="398">
        <v>0</v>
      </c>
      <c r="Z28" s="398">
        <f t="shared" si="1"/>
        <v>24</v>
      </c>
      <c r="AA28" s="242"/>
      <c r="AB28" s="242"/>
      <c r="AC28" s="293"/>
      <c r="AD28" s="270"/>
      <c r="AE28">
        <v>0</v>
      </c>
      <c r="AF28" s="103">
        <v>0</v>
      </c>
      <c r="AG28" s="351">
        <v>0</v>
      </c>
      <c r="AH28">
        <v>0</v>
      </c>
      <c r="AI28">
        <v>0</v>
      </c>
      <c r="AJ28">
        <v>0</v>
      </c>
      <c r="AK28">
        <v>0</v>
      </c>
      <c r="AL28">
        <v>0</v>
      </c>
      <c r="AM28">
        <v>0</v>
      </c>
      <c r="AN28">
        <v>0</v>
      </c>
      <c r="AO28">
        <v>0</v>
      </c>
      <c r="AP28">
        <v>0</v>
      </c>
      <c r="AQ28">
        <v>0</v>
      </c>
      <c r="AR28">
        <v>0</v>
      </c>
    </row>
    <row r="29" spans="1:44" x14ac:dyDescent="0.3">
      <c r="A29" s="281"/>
      <c r="B29" s="281" t="s">
        <v>744</v>
      </c>
      <c r="C29" s="415" t="s">
        <v>787</v>
      </c>
      <c r="D29" s="402" t="s">
        <v>712</v>
      </c>
      <c r="E29" s="402" t="s">
        <v>235</v>
      </c>
      <c r="F29" s="102" t="s">
        <v>237</v>
      </c>
      <c r="G29" s="393"/>
      <c r="H29" s="394" t="s">
        <v>788</v>
      </c>
      <c r="I29" s="395">
        <v>0</v>
      </c>
      <c r="J29" s="396"/>
      <c r="K29" s="397"/>
      <c r="L29" s="398">
        <v>0</v>
      </c>
      <c r="M29" s="398">
        <v>0</v>
      </c>
      <c r="N29" s="398">
        <v>0</v>
      </c>
      <c r="O29" s="399">
        <v>0</v>
      </c>
      <c r="P29" s="399">
        <v>0</v>
      </c>
      <c r="Q29" s="399">
        <v>0</v>
      </c>
      <c r="R29" s="399">
        <v>0</v>
      </c>
      <c r="S29" s="399">
        <v>0</v>
      </c>
      <c r="T29" s="398">
        <v>2</v>
      </c>
      <c r="U29" s="398">
        <v>0</v>
      </c>
      <c r="V29" s="398">
        <v>0</v>
      </c>
      <c r="W29" s="398">
        <v>0</v>
      </c>
      <c r="X29" s="398">
        <v>0</v>
      </c>
      <c r="Y29" s="398">
        <v>0</v>
      </c>
      <c r="Z29" s="398">
        <f t="shared" si="1"/>
        <v>2</v>
      </c>
      <c r="AA29" s="242"/>
      <c r="AB29" s="242"/>
      <c r="AC29" s="293"/>
      <c r="AD29" s="270"/>
      <c r="AE29">
        <v>0</v>
      </c>
      <c r="AF29" s="103">
        <v>0</v>
      </c>
      <c r="AG29" s="351">
        <v>0</v>
      </c>
      <c r="AH29">
        <v>0</v>
      </c>
      <c r="AI29">
        <v>0</v>
      </c>
      <c r="AJ29">
        <v>0</v>
      </c>
      <c r="AK29">
        <v>0</v>
      </c>
      <c r="AL29">
        <v>0</v>
      </c>
      <c r="AM29">
        <v>0</v>
      </c>
      <c r="AN29">
        <v>0</v>
      </c>
      <c r="AO29">
        <v>0</v>
      </c>
      <c r="AP29">
        <v>0</v>
      </c>
      <c r="AQ29">
        <v>0</v>
      </c>
      <c r="AR29">
        <v>0</v>
      </c>
    </row>
    <row r="30" spans="1:44" x14ac:dyDescent="0.3">
      <c r="A30" s="281"/>
      <c r="B30" s="281" t="s">
        <v>745</v>
      </c>
      <c r="C30" s="415" t="s">
        <v>727</v>
      </c>
      <c r="D30" s="402"/>
      <c r="E30" s="402" t="s">
        <v>232</v>
      </c>
      <c r="F30" s="102" t="s">
        <v>140</v>
      </c>
      <c r="G30" s="393"/>
      <c r="H30" s="394" t="s">
        <v>774</v>
      </c>
      <c r="I30" s="395">
        <v>0</v>
      </c>
      <c r="J30" s="396"/>
      <c r="K30" s="397"/>
      <c r="L30" s="398">
        <v>0</v>
      </c>
      <c r="M30" s="398">
        <v>0</v>
      </c>
      <c r="N30" s="398">
        <v>10</v>
      </c>
      <c r="O30" s="399">
        <v>0</v>
      </c>
      <c r="P30" s="399">
        <v>0</v>
      </c>
      <c r="Q30" s="399">
        <v>0</v>
      </c>
      <c r="R30" s="399">
        <v>0</v>
      </c>
      <c r="S30" s="399">
        <v>0</v>
      </c>
      <c r="T30" s="398">
        <v>0</v>
      </c>
      <c r="U30" s="398">
        <v>23</v>
      </c>
      <c r="V30" s="398">
        <v>0</v>
      </c>
      <c r="W30" s="398">
        <v>0</v>
      </c>
      <c r="X30" s="398">
        <v>0</v>
      </c>
      <c r="Y30" s="398">
        <v>0</v>
      </c>
      <c r="Z30" s="398">
        <f t="shared" si="1"/>
        <v>33</v>
      </c>
      <c r="AA30" s="242"/>
      <c r="AB30" s="242"/>
      <c r="AC30" s="293"/>
      <c r="AD30" s="270"/>
      <c r="AE30">
        <v>0</v>
      </c>
      <c r="AF30" s="103">
        <v>0</v>
      </c>
      <c r="AG30" s="351">
        <v>0</v>
      </c>
      <c r="AH30">
        <v>0</v>
      </c>
      <c r="AI30">
        <v>0</v>
      </c>
      <c r="AJ30">
        <v>0</v>
      </c>
      <c r="AK30">
        <v>0</v>
      </c>
      <c r="AL30">
        <v>0</v>
      </c>
      <c r="AM30">
        <v>0</v>
      </c>
      <c r="AN30">
        <v>0</v>
      </c>
      <c r="AO30">
        <v>0</v>
      </c>
      <c r="AP30">
        <v>0</v>
      </c>
      <c r="AQ30">
        <v>0</v>
      </c>
      <c r="AR30">
        <v>0</v>
      </c>
    </row>
    <row r="31" spans="1:44" x14ac:dyDescent="0.3">
      <c r="A31" s="281"/>
      <c r="B31" s="281" t="s">
        <v>746</v>
      </c>
      <c r="C31" s="415" t="s">
        <v>723</v>
      </c>
      <c r="D31" s="402" t="s">
        <v>712</v>
      </c>
      <c r="E31" s="402" t="s">
        <v>218</v>
      </c>
      <c r="F31" s="102" t="s">
        <v>185</v>
      </c>
      <c r="G31" s="393"/>
      <c r="H31" s="394" t="s">
        <v>775</v>
      </c>
      <c r="I31" s="395">
        <v>0</v>
      </c>
      <c r="J31" s="396"/>
      <c r="K31" s="397"/>
      <c r="L31" s="398">
        <v>14</v>
      </c>
      <c r="M31" s="398">
        <v>0</v>
      </c>
      <c r="N31" s="398">
        <v>3</v>
      </c>
      <c r="O31" s="399">
        <v>1</v>
      </c>
      <c r="P31" s="399">
        <v>8</v>
      </c>
      <c r="Q31" s="399">
        <v>0</v>
      </c>
      <c r="R31" s="399">
        <v>2</v>
      </c>
      <c r="S31" s="399">
        <v>7</v>
      </c>
      <c r="T31" s="398">
        <v>16</v>
      </c>
      <c r="U31" s="398">
        <v>20</v>
      </c>
      <c r="V31" s="398">
        <v>9</v>
      </c>
      <c r="W31" s="398">
        <v>0</v>
      </c>
      <c r="X31" s="398">
        <v>0</v>
      </c>
      <c r="Y31" s="398">
        <v>0</v>
      </c>
      <c r="Z31" s="398">
        <f t="shared" si="1"/>
        <v>80</v>
      </c>
      <c r="AA31" s="242"/>
      <c r="AB31" s="242"/>
      <c r="AC31" s="293"/>
      <c r="AD31" s="270"/>
      <c r="AE31">
        <v>2</v>
      </c>
      <c r="AF31" s="103">
        <v>0</v>
      </c>
      <c r="AG31" s="351">
        <v>0</v>
      </c>
      <c r="AH31">
        <v>0</v>
      </c>
      <c r="AI31">
        <v>0</v>
      </c>
      <c r="AJ31">
        <v>0</v>
      </c>
      <c r="AK31">
        <v>0</v>
      </c>
      <c r="AL31">
        <v>0</v>
      </c>
      <c r="AM31">
        <v>0</v>
      </c>
      <c r="AN31">
        <v>0</v>
      </c>
      <c r="AO31">
        <v>0</v>
      </c>
      <c r="AP31">
        <v>0</v>
      </c>
      <c r="AQ31">
        <v>0</v>
      </c>
      <c r="AR31">
        <v>0</v>
      </c>
    </row>
    <row r="32" spans="1:44" x14ac:dyDescent="0.3">
      <c r="A32" s="281"/>
      <c r="B32" s="400" t="s">
        <v>747</v>
      </c>
      <c r="C32" s="401" t="s">
        <v>748</v>
      </c>
      <c r="D32" s="402"/>
      <c r="E32" s="402" t="s">
        <v>219</v>
      </c>
      <c r="F32" s="102" t="s">
        <v>138</v>
      </c>
      <c r="G32" s="393"/>
      <c r="H32" s="394" t="s">
        <v>776</v>
      </c>
      <c r="I32" s="395">
        <v>0</v>
      </c>
      <c r="J32" s="396"/>
      <c r="K32" s="397"/>
      <c r="L32" s="398">
        <v>0</v>
      </c>
      <c r="M32" s="398">
        <v>0</v>
      </c>
      <c r="N32" s="398">
        <v>0</v>
      </c>
      <c r="O32" s="399">
        <v>0</v>
      </c>
      <c r="P32" s="399">
        <v>0</v>
      </c>
      <c r="Q32" s="399">
        <v>0</v>
      </c>
      <c r="R32" s="399">
        <v>0</v>
      </c>
      <c r="S32" s="399">
        <v>0</v>
      </c>
      <c r="T32" s="398">
        <v>3</v>
      </c>
      <c r="U32" s="398">
        <v>8</v>
      </c>
      <c r="V32" s="398">
        <v>0</v>
      </c>
      <c r="W32" s="398">
        <v>0</v>
      </c>
      <c r="X32" s="398">
        <v>0</v>
      </c>
      <c r="Y32" s="398">
        <v>3</v>
      </c>
      <c r="Z32" s="398">
        <f t="shared" si="1"/>
        <v>14</v>
      </c>
      <c r="AA32" s="242"/>
      <c r="AB32" s="242"/>
      <c r="AC32" s="293"/>
      <c r="AD32" s="270"/>
      <c r="AE32">
        <v>0</v>
      </c>
      <c r="AF32" s="103">
        <v>0</v>
      </c>
      <c r="AG32" s="351">
        <v>0</v>
      </c>
      <c r="AH32">
        <v>0</v>
      </c>
      <c r="AI32">
        <v>0</v>
      </c>
      <c r="AJ32">
        <v>0</v>
      </c>
      <c r="AK32">
        <v>0</v>
      </c>
      <c r="AL32">
        <v>0</v>
      </c>
      <c r="AM32">
        <v>1</v>
      </c>
      <c r="AN32">
        <v>0</v>
      </c>
      <c r="AO32">
        <v>0</v>
      </c>
      <c r="AP32">
        <v>0</v>
      </c>
      <c r="AQ32">
        <v>0</v>
      </c>
      <c r="AR32">
        <v>0</v>
      </c>
    </row>
    <row r="33" spans="1:44" x14ac:dyDescent="0.3">
      <c r="A33" s="281"/>
      <c r="B33" s="281" t="s">
        <v>873</v>
      </c>
      <c r="C33" s="415" t="s">
        <v>874</v>
      </c>
      <c r="D33" s="402"/>
      <c r="E33" s="402" t="s">
        <v>875</v>
      </c>
      <c r="F33" s="102" t="s">
        <v>876</v>
      </c>
      <c r="G33" s="393"/>
      <c r="H33" s="394" t="s">
        <v>877</v>
      </c>
      <c r="I33" s="395">
        <v>0</v>
      </c>
      <c r="J33" s="396"/>
      <c r="K33" s="397"/>
      <c r="L33" s="398">
        <v>0</v>
      </c>
      <c r="M33" s="398">
        <v>0</v>
      </c>
      <c r="N33" s="398">
        <v>0</v>
      </c>
      <c r="O33" s="399">
        <v>0</v>
      </c>
      <c r="P33" s="399">
        <v>0</v>
      </c>
      <c r="Q33" s="399">
        <v>0</v>
      </c>
      <c r="R33" s="399">
        <v>0</v>
      </c>
      <c r="S33" s="399">
        <v>0</v>
      </c>
      <c r="T33" s="398">
        <v>0</v>
      </c>
      <c r="U33" s="398">
        <v>0</v>
      </c>
      <c r="V33" s="398">
        <v>0</v>
      </c>
      <c r="W33" s="398">
        <v>2</v>
      </c>
      <c r="X33" s="398">
        <v>0</v>
      </c>
      <c r="Y33" s="398">
        <v>0</v>
      </c>
      <c r="Z33" s="398">
        <f t="shared" si="1"/>
        <v>2</v>
      </c>
      <c r="AA33" s="242"/>
      <c r="AB33" s="242"/>
      <c r="AC33" s="293"/>
      <c r="AD33" s="270"/>
      <c r="AE33">
        <v>0</v>
      </c>
      <c r="AF33" s="103">
        <v>0</v>
      </c>
      <c r="AG33" s="351">
        <v>0</v>
      </c>
      <c r="AH33">
        <v>0</v>
      </c>
      <c r="AI33">
        <v>0</v>
      </c>
      <c r="AJ33">
        <v>0</v>
      </c>
      <c r="AK33">
        <v>0</v>
      </c>
      <c r="AL33">
        <v>0</v>
      </c>
      <c r="AM33">
        <v>0</v>
      </c>
      <c r="AN33">
        <v>0</v>
      </c>
      <c r="AO33">
        <v>0</v>
      </c>
      <c r="AP33">
        <v>0</v>
      </c>
      <c r="AQ33">
        <v>0</v>
      </c>
      <c r="AR33">
        <v>0</v>
      </c>
    </row>
    <row r="34" spans="1:44" x14ac:dyDescent="0.3">
      <c r="A34" s="281"/>
      <c r="B34" s="281" t="s">
        <v>749</v>
      </c>
      <c r="C34" s="415" t="s">
        <v>750</v>
      </c>
      <c r="D34" s="402"/>
      <c r="E34" s="402" t="s">
        <v>835</v>
      </c>
      <c r="F34" s="102" t="s">
        <v>836</v>
      </c>
      <c r="G34" s="393"/>
      <c r="H34" s="394" t="s">
        <v>837</v>
      </c>
      <c r="I34" s="395">
        <v>0</v>
      </c>
      <c r="J34" s="396"/>
      <c r="K34" s="397"/>
      <c r="L34" s="398">
        <v>0</v>
      </c>
      <c r="M34" s="398">
        <v>0</v>
      </c>
      <c r="N34" s="398">
        <v>0</v>
      </c>
      <c r="O34" s="399">
        <v>0</v>
      </c>
      <c r="P34" s="399">
        <v>0</v>
      </c>
      <c r="Q34" s="399">
        <v>0</v>
      </c>
      <c r="R34" s="399">
        <v>0</v>
      </c>
      <c r="S34" s="399">
        <v>0</v>
      </c>
      <c r="T34" s="398">
        <v>0</v>
      </c>
      <c r="U34" s="398">
        <v>2</v>
      </c>
      <c r="V34" s="398">
        <v>0</v>
      </c>
      <c r="W34" s="398">
        <v>0</v>
      </c>
      <c r="X34" s="398">
        <v>0</v>
      </c>
      <c r="Y34" s="398">
        <v>1</v>
      </c>
      <c r="Z34" s="398">
        <f t="shared" si="1"/>
        <v>3</v>
      </c>
      <c r="AA34" s="242"/>
      <c r="AB34" s="242"/>
      <c r="AC34" s="293"/>
      <c r="AD34" s="270"/>
      <c r="AE34">
        <v>0</v>
      </c>
      <c r="AF34" s="103">
        <v>0</v>
      </c>
      <c r="AG34" s="351">
        <v>0</v>
      </c>
      <c r="AH34">
        <v>0</v>
      </c>
      <c r="AI34">
        <v>0</v>
      </c>
      <c r="AJ34">
        <v>0</v>
      </c>
      <c r="AK34">
        <v>0</v>
      </c>
      <c r="AL34">
        <v>0</v>
      </c>
      <c r="AM34">
        <v>0</v>
      </c>
      <c r="AN34">
        <v>0</v>
      </c>
      <c r="AO34">
        <v>0</v>
      </c>
      <c r="AP34">
        <v>0</v>
      </c>
      <c r="AQ34">
        <v>0</v>
      </c>
      <c r="AR34">
        <v>0</v>
      </c>
    </row>
    <row r="35" spans="1:44" x14ac:dyDescent="0.3">
      <c r="A35" s="281"/>
      <c r="B35" s="400" t="s">
        <v>732</v>
      </c>
      <c r="C35" s="401" t="s">
        <v>805</v>
      </c>
      <c r="D35" s="402"/>
      <c r="E35" s="402" t="s">
        <v>838</v>
      </c>
      <c r="F35" s="102" t="s">
        <v>839</v>
      </c>
      <c r="G35" s="393"/>
      <c r="H35" s="394" t="s">
        <v>840</v>
      </c>
      <c r="I35" s="395">
        <v>0</v>
      </c>
      <c r="J35" s="396"/>
      <c r="K35" s="397"/>
      <c r="L35" s="398">
        <v>0</v>
      </c>
      <c r="M35" s="398">
        <v>0</v>
      </c>
      <c r="N35" s="398">
        <v>0</v>
      </c>
      <c r="O35" s="399">
        <v>0</v>
      </c>
      <c r="P35" s="399">
        <v>0</v>
      </c>
      <c r="Q35" s="399">
        <v>0</v>
      </c>
      <c r="R35" s="399">
        <v>0</v>
      </c>
      <c r="S35" s="399">
        <v>0</v>
      </c>
      <c r="T35" s="398">
        <v>0</v>
      </c>
      <c r="U35" s="398">
        <v>0</v>
      </c>
      <c r="V35" s="398">
        <v>0</v>
      </c>
      <c r="W35" s="398">
        <v>0</v>
      </c>
      <c r="X35" s="398">
        <v>0</v>
      </c>
      <c r="Y35" s="398">
        <v>0</v>
      </c>
      <c r="Z35" s="398">
        <f t="shared" si="1"/>
        <v>0</v>
      </c>
      <c r="AA35" s="242"/>
      <c r="AB35" s="242"/>
      <c r="AC35" s="293"/>
      <c r="AD35" s="270"/>
      <c r="AE35">
        <v>0</v>
      </c>
      <c r="AF35" s="103">
        <v>0</v>
      </c>
      <c r="AG35" s="351">
        <v>0</v>
      </c>
      <c r="AH35">
        <v>0</v>
      </c>
      <c r="AI35">
        <v>0</v>
      </c>
      <c r="AJ35">
        <v>0</v>
      </c>
      <c r="AK35">
        <v>0</v>
      </c>
      <c r="AL35">
        <v>0</v>
      </c>
      <c r="AM35">
        <v>0</v>
      </c>
      <c r="AN35">
        <v>0</v>
      </c>
      <c r="AO35">
        <v>0</v>
      </c>
      <c r="AP35">
        <v>0</v>
      </c>
      <c r="AQ35">
        <v>0</v>
      </c>
      <c r="AR35">
        <v>0</v>
      </c>
    </row>
    <row r="36" spans="1:44" x14ac:dyDescent="0.3">
      <c r="A36" s="281"/>
      <c r="B36" s="281" t="s">
        <v>751</v>
      </c>
      <c r="C36" s="415" t="s">
        <v>752</v>
      </c>
      <c r="D36" s="402"/>
      <c r="E36" s="402" t="s">
        <v>817</v>
      </c>
      <c r="F36" s="102" t="s">
        <v>505</v>
      </c>
      <c r="G36" s="393"/>
      <c r="H36" s="394" t="s">
        <v>777</v>
      </c>
      <c r="I36" s="395">
        <v>0</v>
      </c>
      <c r="J36" s="396"/>
      <c r="K36" s="397"/>
      <c r="L36" s="398">
        <v>0</v>
      </c>
      <c r="M36" s="398">
        <v>0</v>
      </c>
      <c r="N36" s="398">
        <v>0</v>
      </c>
      <c r="O36" s="399">
        <v>0</v>
      </c>
      <c r="P36" s="399">
        <v>0</v>
      </c>
      <c r="Q36" s="399">
        <v>0</v>
      </c>
      <c r="R36" s="399">
        <v>0</v>
      </c>
      <c r="S36" s="399">
        <v>0</v>
      </c>
      <c r="T36" s="398">
        <v>0</v>
      </c>
      <c r="U36" s="398">
        <v>0</v>
      </c>
      <c r="V36" s="398">
        <v>0</v>
      </c>
      <c r="W36" s="398">
        <v>0</v>
      </c>
      <c r="X36" s="398">
        <v>0</v>
      </c>
      <c r="Y36" s="398">
        <v>0</v>
      </c>
      <c r="Z36" s="398">
        <f t="shared" si="1"/>
        <v>0</v>
      </c>
      <c r="AA36" s="242"/>
      <c r="AB36" s="242"/>
      <c r="AC36" s="293"/>
      <c r="AD36" s="270"/>
      <c r="AE36">
        <v>0</v>
      </c>
      <c r="AF36" s="103">
        <v>0</v>
      </c>
      <c r="AG36" s="351">
        <v>0</v>
      </c>
      <c r="AH36">
        <v>0</v>
      </c>
      <c r="AI36">
        <v>0</v>
      </c>
      <c r="AJ36">
        <v>0</v>
      </c>
      <c r="AK36">
        <v>0</v>
      </c>
      <c r="AL36">
        <v>0</v>
      </c>
      <c r="AM36">
        <v>0</v>
      </c>
      <c r="AN36">
        <v>0</v>
      </c>
      <c r="AO36">
        <v>0</v>
      </c>
      <c r="AP36">
        <v>0</v>
      </c>
      <c r="AQ36">
        <v>0</v>
      </c>
      <c r="AR36">
        <v>0</v>
      </c>
    </row>
    <row r="37" spans="1:44" x14ac:dyDescent="0.3">
      <c r="A37" s="281"/>
      <c r="B37" s="281" t="s">
        <v>807</v>
      </c>
      <c r="C37" s="415" t="s">
        <v>752</v>
      </c>
      <c r="D37" s="402"/>
      <c r="E37" s="402" t="s">
        <v>818</v>
      </c>
      <c r="F37" s="102" t="s">
        <v>806</v>
      </c>
      <c r="G37" s="393"/>
      <c r="H37" s="394" t="s">
        <v>816</v>
      </c>
      <c r="I37" s="395">
        <v>0</v>
      </c>
      <c r="J37" s="396"/>
      <c r="K37" s="397"/>
      <c r="L37" s="398">
        <v>0</v>
      </c>
      <c r="M37" s="398">
        <v>0</v>
      </c>
      <c r="N37" s="398">
        <v>0</v>
      </c>
      <c r="O37" s="399">
        <v>0</v>
      </c>
      <c r="P37" s="399">
        <v>0</v>
      </c>
      <c r="Q37" s="399">
        <v>0</v>
      </c>
      <c r="R37" s="399">
        <v>0</v>
      </c>
      <c r="S37" s="399">
        <v>0</v>
      </c>
      <c r="T37" s="398">
        <v>0</v>
      </c>
      <c r="U37" s="398">
        <v>0</v>
      </c>
      <c r="V37" s="398">
        <v>0</v>
      </c>
      <c r="W37" s="398">
        <v>1</v>
      </c>
      <c r="X37" s="398">
        <v>0</v>
      </c>
      <c r="Y37" s="398">
        <v>0</v>
      </c>
      <c r="Z37" s="398">
        <f t="shared" si="1"/>
        <v>1</v>
      </c>
      <c r="AA37" s="242"/>
      <c r="AB37" s="242"/>
      <c r="AC37" s="293"/>
      <c r="AD37" s="270"/>
      <c r="AE37">
        <v>0</v>
      </c>
      <c r="AF37" s="103">
        <v>0</v>
      </c>
      <c r="AG37" s="351">
        <v>0</v>
      </c>
      <c r="AH37">
        <v>0</v>
      </c>
      <c r="AI37">
        <v>0</v>
      </c>
      <c r="AJ37">
        <v>0</v>
      </c>
      <c r="AK37">
        <v>0</v>
      </c>
      <c r="AL37">
        <v>0</v>
      </c>
      <c r="AM37">
        <v>0</v>
      </c>
      <c r="AN37">
        <v>0</v>
      </c>
      <c r="AO37">
        <v>0</v>
      </c>
      <c r="AP37">
        <v>0</v>
      </c>
      <c r="AQ37">
        <v>0</v>
      </c>
      <c r="AR37">
        <v>0</v>
      </c>
    </row>
    <row r="38" spans="1:44" x14ac:dyDescent="0.3">
      <c r="A38" s="281"/>
      <c r="B38" s="281" t="s">
        <v>807</v>
      </c>
      <c r="C38" s="415" t="s">
        <v>756</v>
      </c>
      <c r="D38" s="402"/>
      <c r="E38" s="402" t="s">
        <v>925</v>
      </c>
      <c r="F38" s="102" t="s">
        <v>926</v>
      </c>
      <c r="G38" s="393"/>
      <c r="H38" s="394" t="s">
        <v>927</v>
      </c>
      <c r="I38" s="395">
        <v>0</v>
      </c>
      <c r="J38" s="396"/>
      <c r="K38" s="397"/>
      <c r="L38" s="398">
        <v>0</v>
      </c>
      <c r="M38" s="398">
        <v>0</v>
      </c>
      <c r="N38" s="398">
        <v>0</v>
      </c>
      <c r="O38" s="399">
        <v>0</v>
      </c>
      <c r="P38" s="399">
        <v>0</v>
      </c>
      <c r="Q38" s="399">
        <v>0</v>
      </c>
      <c r="R38" s="399">
        <v>0</v>
      </c>
      <c r="S38" s="399">
        <v>0</v>
      </c>
      <c r="T38" s="398">
        <v>0</v>
      </c>
      <c r="U38" s="398">
        <v>0</v>
      </c>
      <c r="V38" s="398">
        <v>0</v>
      </c>
      <c r="W38" s="398">
        <v>0</v>
      </c>
      <c r="X38" s="398">
        <v>3</v>
      </c>
      <c r="Y38" s="398">
        <v>0</v>
      </c>
      <c r="Z38" s="398">
        <f t="shared" si="1"/>
        <v>3</v>
      </c>
      <c r="AA38" s="242"/>
      <c r="AB38" s="242"/>
      <c r="AC38" s="293"/>
      <c r="AD38" s="270"/>
      <c r="AE38">
        <v>0</v>
      </c>
      <c r="AF38" s="103">
        <v>0</v>
      </c>
      <c r="AG38" s="351">
        <v>0</v>
      </c>
      <c r="AH38">
        <v>0</v>
      </c>
      <c r="AI38">
        <v>0</v>
      </c>
      <c r="AJ38">
        <v>0</v>
      </c>
      <c r="AK38">
        <v>0</v>
      </c>
      <c r="AL38">
        <v>0</v>
      </c>
      <c r="AM38">
        <v>0</v>
      </c>
      <c r="AN38">
        <v>0</v>
      </c>
      <c r="AO38">
        <v>0</v>
      </c>
      <c r="AP38">
        <v>0</v>
      </c>
      <c r="AQ38">
        <v>0</v>
      </c>
      <c r="AR38">
        <v>0</v>
      </c>
    </row>
    <row r="39" spans="1:44" x14ac:dyDescent="0.3">
      <c r="A39" s="281"/>
      <c r="B39" s="400" t="s">
        <v>753</v>
      </c>
      <c r="C39" s="401" t="s">
        <v>718</v>
      </c>
      <c r="D39" s="402"/>
      <c r="E39" s="402" t="s">
        <v>506</v>
      </c>
      <c r="F39" s="102" t="s">
        <v>507</v>
      </c>
      <c r="G39" s="393"/>
      <c r="H39" s="394" t="s">
        <v>778</v>
      </c>
      <c r="I39" s="395">
        <v>0</v>
      </c>
      <c r="J39" s="396"/>
      <c r="K39" s="397"/>
      <c r="L39" s="398">
        <v>0</v>
      </c>
      <c r="M39" s="398">
        <v>0</v>
      </c>
      <c r="N39" s="398">
        <v>0</v>
      </c>
      <c r="O39" s="399">
        <v>0</v>
      </c>
      <c r="P39" s="399">
        <v>0</v>
      </c>
      <c r="Q39" s="399">
        <v>0</v>
      </c>
      <c r="R39" s="399">
        <v>0</v>
      </c>
      <c r="S39" s="399">
        <v>0</v>
      </c>
      <c r="T39" s="398">
        <v>0</v>
      </c>
      <c r="U39" s="398">
        <v>0</v>
      </c>
      <c r="V39" s="398">
        <v>0</v>
      </c>
      <c r="W39" s="398">
        <v>0</v>
      </c>
      <c r="X39" s="398">
        <v>0</v>
      </c>
      <c r="Y39" s="398">
        <v>0</v>
      </c>
      <c r="Z39" s="398">
        <f t="shared" si="1"/>
        <v>0</v>
      </c>
      <c r="AA39" s="242"/>
      <c r="AB39" s="242"/>
      <c r="AC39" s="293"/>
      <c r="AD39" s="270"/>
      <c r="AE39">
        <v>0</v>
      </c>
      <c r="AF39" s="103">
        <v>0</v>
      </c>
      <c r="AG39" s="351">
        <v>0</v>
      </c>
      <c r="AH39">
        <v>0</v>
      </c>
      <c r="AI39">
        <v>0</v>
      </c>
      <c r="AJ39">
        <v>0</v>
      </c>
      <c r="AK39">
        <v>0</v>
      </c>
      <c r="AL39">
        <v>0</v>
      </c>
      <c r="AM39">
        <v>0</v>
      </c>
      <c r="AN39">
        <v>0</v>
      </c>
      <c r="AO39">
        <v>0</v>
      </c>
      <c r="AP39">
        <v>0</v>
      </c>
      <c r="AQ39">
        <v>0</v>
      </c>
      <c r="AR39">
        <v>0</v>
      </c>
    </row>
    <row r="40" spans="1:44" x14ac:dyDescent="0.3">
      <c r="A40" s="281"/>
      <c r="B40" s="281" t="s">
        <v>754</v>
      </c>
      <c r="C40" s="415" t="s">
        <v>729</v>
      </c>
      <c r="D40" s="402"/>
      <c r="E40" s="402" t="s">
        <v>508</v>
      </c>
      <c r="F40" s="102" t="s">
        <v>509</v>
      </c>
      <c r="G40" s="393"/>
      <c r="H40" s="394" t="s">
        <v>779</v>
      </c>
      <c r="I40" s="395">
        <v>0</v>
      </c>
      <c r="J40" s="396"/>
      <c r="K40" s="397"/>
      <c r="L40" s="398">
        <v>0</v>
      </c>
      <c r="M40" s="398">
        <v>0</v>
      </c>
      <c r="N40" s="398">
        <v>0</v>
      </c>
      <c r="O40" s="399">
        <v>0</v>
      </c>
      <c r="P40" s="399">
        <v>0</v>
      </c>
      <c r="Q40" s="399">
        <v>0</v>
      </c>
      <c r="R40" s="399">
        <v>0</v>
      </c>
      <c r="S40" s="399">
        <v>0</v>
      </c>
      <c r="T40" s="398">
        <v>0</v>
      </c>
      <c r="U40" s="398">
        <v>0</v>
      </c>
      <c r="V40" s="398">
        <v>0</v>
      </c>
      <c r="W40" s="398">
        <v>8</v>
      </c>
      <c r="X40" s="398">
        <v>0</v>
      </c>
      <c r="Y40" s="398">
        <v>0</v>
      </c>
      <c r="Z40" s="398">
        <f t="shared" si="1"/>
        <v>8</v>
      </c>
      <c r="AA40" s="242"/>
      <c r="AB40" s="242"/>
      <c r="AC40" s="293"/>
      <c r="AD40" s="270"/>
      <c r="AE40">
        <v>0</v>
      </c>
      <c r="AF40" s="103">
        <v>0</v>
      </c>
      <c r="AG40" s="351">
        <v>0</v>
      </c>
      <c r="AH40">
        <v>0</v>
      </c>
      <c r="AI40">
        <v>0</v>
      </c>
      <c r="AJ40">
        <v>0</v>
      </c>
      <c r="AK40">
        <v>0</v>
      </c>
      <c r="AL40">
        <v>0</v>
      </c>
      <c r="AM40">
        <v>0</v>
      </c>
      <c r="AN40">
        <v>0</v>
      </c>
      <c r="AO40">
        <v>0</v>
      </c>
      <c r="AP40">
        <v>0</v>
      </c>
      <c r="AQ40">
        <v>0</v>
      </c>
      <c r="AR40">
        <v>0</v>
      </c>
    </row>
    <row r="41" spans="1:44" x14ac:dyDescent="0.3">
      <c r="A41" s="281"/>
      <c r="B41" s="281" t="s">
        <v>755</v>
      </c>
      <c r="C41" s="415" t="s">
        <v>756</v>
      </c>
      <c r="D41" s="402"/>
      <c r="E41" s="402" t="s">
        <v>238</v>
      </c>
      <c r="F41" s="102" t="s">
        <v>10</v>
      </c>
      <c r="G41" s="393"/>
      <c r="H41" s="394" t="s">
        <v>780</v>
      </c>
      <c r="I41" s="395">
        <v>0</v>
      </c>
      <c r="J41" s="396"/>
      <c r="K41" s="397"/>
      <c r="L41" s="398">
        <v>0</v>
      </c>
      <c r="M41" s="398">
        <v>0</v>
      </c>
      <c r="N41" s="398">
        <v>0</v>
      </c>
      <c r="O41" s="399">
        <v>3</v>
      </c>
      <c r="P41" s="399">
        <v>4</v>
      </c>
      <c r="Q41" s="399">
        <v>0</v>
      </c>
      <c r="R41" s="399">
        <v>0</v>
      </c>
      <c r="S41" s="399">
        <v>4</v>
      </c>
      <c r="T41" s="398">
        <v>0</v>
      </c>
      <c r="U41" s="398">
        <v>0</v>
      </c>
      <c r="V41" s="398">
        <v>0</v>
      </c>
      <c r="W41" s="398">
        <v>0</v>
      </c>
      <c r="X41" s="398">
        <v>2</v>
      </c>
      <c r="Y41" s="398">
        <v>0</v>
      </c>
      <c r="Z41" s="398">
        <f t="shared" si="1"/>
        <v>13</v>
      </c>
      <c r="AA41" s="242"/>
      <c r="AB41" s="242"/>
      <c r="AC41" s="293"/>
      <c r="AD41" s="270"/>
      <c r="AE41">
        <v>0</v>
      </c>
      <c r="AF41" s="103">
        <v>0</v>
      </c>
      <c r="AG41" s="351">
        <v>0</v>
      </c>
      <c r="AH41">
        <v>0</v>
      </c>
      <c r="AI41">
        <v>0</v>
      </c>
      <c r="AJ41">
        <v>0</v>
      </c>
      <c r="AK41">
        <v>0</v>
      </c>
      <c r="AL41">
        <v>0</v>
      </c>
      <c r="AM41">
        <v>0</v>
      </c>
      <c r="AN41">
        <v>0</v>
      </c>
      <c r="AO41">
        <v>0</v>
      </c>
      <c r="AP41">
        <v>0</v>
      </c>
      <c r="AQ41">
        <v>0</v>
      </c>
      <c r="AR41">
        <v>0</v>
      </c>
    </row>
    <row r="42" spans="1:44" x14ac:dyDescent="0.3">
      <c r="A42" s="281"/>
      <c r="B42" s="281" t="s">
        <v>868</v>
      </c>
      <c r="C42" s="415" t="s">
        <v>869</v>
      </c>
      <c r="D42" s="402"/>
      <c r="E42" s="402" t="s">
        <v>878</v>
      </c>
      <c r="F42" s="102" t="s">
        <v>879</v>
      </c>
      <c r="G42" s="393"/>
      <c r="H42" s="394" t="s">
        <v>880</v>
      </c>
      <c r="I42" s="395">
        <v>0</v>
      </c>
      <c r="J42" s="396"/>
      <c r="K42" s="397"/>
      <c r="L42" s="398">
        <v>0</v>
      </c>
      <c r="M42" s="398">
        <v>0</v>
      </c>
      <c r="N42" s="398">
        <v>0</v>
      </c>
      <c r="O42" s="399">
        <v>0</v>
      </c>
      <c r="P42" s="399">
        <v>0</v>
      </c>
      <c r="Q42" s="399">
        <v>0</v>
      </c>
      <c r="R42" s="399">
        <v>0</v>
      </c>
      <c r="S42" s="399">
        <v>0</v>
      </c>
      <c r="T42" s="398">
        <v>0</v>
      </c>
      <c r="U42" s="398">
        <v>0</v>
      </c>
      <c r="V42" s="398">
        <v>0</v>
      </c>
      <c r="W42" s="398">
        <v>3</v>
      </c>
      <c r="X42" s="398">
        <v>0</v>
      </c>
      <c r="Y42" s="398">
        <v>0</v>
      </c>
      <c r="Z42" s="398">
        <f t="shared" si="1"/>
        <v>3</v>
      </c>
      <c r="AA42" s="242"/>
      <c r="AB42" s="242"/>
      <c r="AC42" s="293"/>
      <c r="AD42" s="270"/>
      <c r="AE42">
        <v>0</v>
      </c>
      <c r="AF42" s="103">
        <v>0</v>
      </c>
      <c r="AG42" s="351">
        <v>0</v>
      </c>
      <c r="AH42">
        <v>0</v>
      </c>
      <c r="AI42">
        <v>0</v>
      </c>
      <c r="AJ42">
        <v>0</v>
      </c>
      <c r="AK42">
        <v>0</v>
      </c>
      <c r="AL42">
        <v>0</v>
      </c>
      <c r="AM42">
        <v>0</v>
      </c>
      <c r="AN42">
        <v>0</v>
      </c>
      <c r="AO42">
        <v>0</v>
      </c>
      <c r="AP42">
        <v>0</v>
      </c>
      <c r="AQ42">
        <v>0</v>
      </c>
      <c r="AR42">
        <v>0</v>
      </c>
    </row>
    <row r="43" spans="1:44" x14ac:dyDescent="0.3">
      <c r="A43" s="281"/>
      <c r="B43" s="281" t="s">
        <v>757</v>
      </c>
      <c r="C43" s="415" t="s">
        <v>758</v>
      </c>
      <c r="D43" s="402" t="s">
        <v>712</v>
      </c>
      <c r="E43" s="402" t="s">
        <v>226</v>
      </c>
      <c r="F43" s="102" t="s">
        <v>143</v>
      </c>
      <c r="G43" s="393"/>
      <c r="H43" s="394" t="s">
        <v>781</v>
      </c>
      <c r="I43" s="395">
        <v>0</v>
      </c>
      <c r="J43" s="396"/>
      <c r="K43" s="397"/>
      <c r="L43" s="398">
        <v>17</v>
      </c>
      <c r="M43" s="398">
        <v>0</v>
      </c>
      <c r="N43" s="398">
        <v>6</v>
      </c>
      <c r="O43" s="399">
        <v>2</v>
      </c>
      <c r="P43" s="399">
        <v>1</v>
      </c>
      <c r="Q43" s="399">
        <v>0</v>
      </c>
      <c r="R43" s="399">
        <v>3</v>
      </c>
      <c r="S43" s="399">
        <v>0</v>
      </c>
      <c r="T43" s="398">
        <v>7</v>
      </c>
      <c r="U43" s="398">
        <v>17</v>
      </c>
      <c r="V43" s="398">
        <v>0</v>
      </c>
      <c r="W43" s="398">
        <v>0</v>
      </c>
      <c r="X43" s="398">
        <v>3</v>
      </c>
      <c r="Y43" s="398">
        <v>5</v>
      </c>
      <c r="Z43" s="398">
        <f t="shared" si="1"/>
        <v>61</v>
      </c>
      <c r="AA43" s="242"/>
      <c r="AB43" s="242"/>
      <c r="AC43" s="293"/>
      <c r="AD43" s="270"/>
      <c r="AE43">
        <v>2</v>
      </c>
      <c r="AF43" s="103">
        <v>0</v>
      </c>
      <c r="AG43" s="351">
        <v>0</v>
      </c>
      <c r="AH43">
        <v>0</v>
      </c>
      <c r="AI43">
        <v>0</v>
      </c>
      <c r="AJ43">
        <v>0</v>
      </c>
      <c r="AK43">
        <v>0</v>
      </c>
      <c r="AL43">
        <v>0</v>
      </c>
      <c r="AM43">
        <v>1</v>
      </c>
      <c r="AN43">
        <v>0</v>
      </c>
      <c r="AO43">
        <v>0</v>
      </c>
      <c r="AP43">
        <v>0</v>
      </c>
      <c r="AQ43">
        <v>0</v>
      </c>
      <c r="AR43">
        <v>0</v>
      </c>
    </row>
    <row r="44" spans="1:44" x14ac:dyDescent="0.3">
      <c r="A44" s="281"/>
      <c r="B44" s="281" t="s">
        <v>819</v>
      </c>
      <c r="C44" s="415" t="s">
        <v>820</v>
      </c>
      <c r="D44" s="402"/>
      <c r="E44" s="402" t="s">
        <v>841</v>
      </c>
      <c r="F44" s="102" t="s">
        <v>842</v>
      </c>
      <c r="G44" s="393"/>
      <c r="H44" s="394" t="s">
        <v>843</v>
      </c>
      <c r="I44" s="395">
        <v>0</v>
      </c>
      <c r="J44" s="396"/>
      <c r="K44" s="397"/>
      <c r="L44" s="398">
        <v>3</v>
      </c>
      <c r="M44" s="398">
        <v>3</v>
      </c>
      <c r="N44" s="398">
        <v>3</v>
      </c>
      <c r="O44" s="399">
        <v>0</v>
      </c>
      <c r="P44" s="399">
        <v>0</v>
      </c>
      <c r="Q44" s="399">
        <v>0</v>
      </c>
      <c r="R44" s="399">
        <v>0</v>
      </c>
      <c r="S44" s="399">
        <v>0</v>
      </c>
      <c r="T44" s="398">
        <v>3</v>
      </c>
      <c r="U44" s="398">
        <v>0</v>
      </c>
      <c r="V44" s="398">
        <v>0</v>
      </c>
      <c r="W44" s="398">
        <v>0</v>
      </c>
      <c r="X44" s="398">
        <v>0</v>
      </c>
      <c r="Y44" s="398">
        <v>0</v>
      </c>
      <c r="Z44" s="398">
        <f t="shared" si="1"/>
        <v>9</v>
      </c>
      <c r="AA44" s="242"/>
      <c r="AB44" s="242"/>
      <c r="AC44" s="293"/>
      <c r="AD44" s="270"/>
      <c r="AE44">
        <v>3</v>
      </c>
      <c r="AF44" s="103">
        <v>0</v>
      </c>
      <c r="AG44" s="351">
        <v>1</v>
      </c>
      <c r="AH44">
        <v>0</v>
      </c>
      <c r="AI44">
        <v>0</v>
      </c>
      <c r="AJ44">
        <v>0</v>
      </c>
      <c r="AK44">
        <v>0</v>
      </c>
      <c r="AL44">
        <v>0</v>
      </c>
      <c r="AM44">
        <v>2</v>
      </c>
      <c r="AN44">
        <v>0</v>
      </c>
      <c r="AO44">
        <v>0</v>
      </c>
      <c r="AP44">
        <v>0</v>
      </c>
      <c r="AQ44">
        <v>0</v>
      </c>
      <c r="AR44">
        <v>0</v>
      </c>
    </row>
    <row r="45" spans="1:44" x14ac:dyDescent="0.3">
      <c r="A45" s="101"/>
      <c r="B45" s="101"/>
      <c r="C45" s="416"/>
      <c r="D45" s="270"/>
      <c r="E45" s="417"/>
      <c r="F45" s="102"/>
      <c r="G45" s="393"/>
      <c r="H45" s="394"/>
      <c r="I45" s="395"/>
      <c r="J45" s="396"/>
      <c r="K45" s="397"/>
      <c r="L45" s="398"/>
      <c r="M45" s="398"/>
      <c r="N45" s="398"/>
      <c r="O45" s="399"/>
      <c r="P45" s="399"/>
      <c r="Q45" s="399"/>
      <c r="R45" s="399"/>
      <c r="S45" s="399"/>
      <c r="T45" s="398"/>
      <c r="U45" s="398"/>
      <c r="V45" s="398"/>
      <c r="W45" s="398"/>
      <c r="X45" s="398"/>
      <c r="Y45" s="398"/>
      <c r="Z45" s="398">
        <f>SUM(N45:Y45)+L45</f>
        <v>0</v>
      </c>
      <c r="AA45" s="242"/>
      <c r="AB45" s="242"/>
      <c r="AC45" s="293"/>
      <c r="AD45" s="270"/>
    </row>
  </sheetData>
  <customSheetViews>
    <customSheetView guid="{468281ED-4ADC-4BB5-9EE5-E9016B5EB30D}" zeroValues="0" fitToPage="1" printArea="1">
      <pane ySplit="2" topLeftCell="A5" activePane="bottomLeft" state="frozen"/>
      <selection pane="bottomLeft"/>
      <pageMargins left="0.51181102362204722" right="0.51181102362204722" top="1.3385826771653544" bottom="0.74803149606299213" header="0.31496062992125984" footer="0.31496062992125984"/>
      <printOptions horizontalCentered="1"/>
      <pageSetup paperSize="9" orientation="portrait" horizontalDpi="4294967293" verticalDpi="288" r:id="rId1"/>
      <headerFooter>
        <oddHeader>&amp;C&amp;16Badenoch Gardening Club Annual Show 2014&amp;11
&amp;"-,Bold"&amp;16
&amp;18Exhibitors</oddHeader>
      </headerFooter>
    </customSheetView>
  </customSheetViews>
  <printOptions horizontalCentered="1"/>
  <pageMargins left="0.51181102362204722" right="0.51181102362204722" top="1.3385826771653544" bottom="0.74803149606299213" header="0.31496062992125984" footer="0.31496062992125984"/>
  <pageSetup paperSize="9" orientation="portrait" horizontalDpi="4294967293" verticalDpi="288" r:id="rId2"/>
  <headerFooter>
    <oddHeader>&amp;C&amp;16Badenoch Gardening Club Annual Show 2014&amp;11
&amp;"-,Bold"&amp;16
&amp;18Exhibitors</oddHeader>
  </headerFooter>
  <drawing r:id="rId3"/>
  <legacyDrawing r:id="rId4"/>
  <controls>
    <mc:AlternateContent xmlns:mc="http://schemas.openxmlformats.org/markup-compatibility/2006">
      <mc:Choice Requires="x14">
        <control shapeId="2049" r:id="rId5" name="CommandButton1">
          <controlPr locked="0" defaultSize="0" autoLine="0" r:id="rId6">
            <anchor moveWithCells="1">
              <from>
                <xdr:col>4</xdr:col>
                <xdr:colOff>7620</xdr:colOff>
                <xdr:row>0</xdr:row>
                <xdr:rowOff>7620</xdr:rowOff>
              </from>
              <to>
                <xdr:col>5</xdr:col>
                <xdr:colOff>952500</xdr:colOff>
                <xdr:row>0</xdr:row>
                <xdr:rowOff>502920</xdr:rowOff>
              </to>
            </anchor>
          </controlPr>
        </control>
      </mc:Choice>
      <mc:Fallback>
        <control shapeId="2049" r:id="rId5" name="CommandButton1"/>
      </mc:Fallback>
    </mc:AlternateContent>
    <mc:AlternateContent xmlns:mc="http://schemas.openxmlformats.org/markup-compatibility/2006">
      <mc:Choice Requires="x14">
        <control shapeId="2052" r:id="rId7" name="TextBox1">
          <controlPr defaultSize="0" autoLine="0" r:id="rId8">
            <anchor moveWithCells="1">
              <from>
                <xdr:col>0</xdr:col>
                <xdr:colOff>312420</xdr:colOff>
                <xdr:row>1</xdr:row>
                <xdr:rowOff>609600</xdr:rowOff>
              </from>
              <to>
                <xdr:col>3</xdr:col>
                <xdr:colOff>190500</xdr:colOff>
                <xdr:row>1</xdr:row>
                <xdr:rowOff>1318260</xdr:rowOff>
              </to>
            </anchor>
          </controlPr>
        </control>
      </mc:Choice>
      <mc:Fallback>
        <control shapeId="2052" r:id="rId7" name="TextBox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Classes">
    <pageSetUpPr fitToPage="1"/>
  </sheetPr>
  <dimension ref="A1:AH157"/>
  <sheetViews>
    <sheetView topLeftCell="A65" zoomScale="70" zoomScaleNormal="70" workbookViewId="0">
      <selection activeCell="E113" sqref="E113"/>
    </sheetView>
  </sheetViews>
  <sheetFormatPr defaultColWidth="9.109375" defaultRowHeight="15.6" x14ac:dyDescent="0.3"/>
  <cols>
    <col min="1" max="1" width="10.109375" bestFit="1" customWidth="1"/>
    <col min="2" max="5" width="27.88671875" style="66" customWidth="1"/>
    <col min="12" max="12" width="10.5546875" style="8" customWidth="1"/>
    <col min="13" max="13" width="34.5546875" style="1" bestFit="1" customWidth="1"/>
    <col min="14" max="14" width="18.44140625" style="8" customWidth="1"/>
    <col min="15" max="15" width="19.88671875" style="8" customWidth="1"/>
    <col min="16" max="16" width="20.5546875" style="8" customWidth="1"/>
    <col min="17" max="17" width="7.5546875" style="59" customWidth="1"/>
    <col min="18" max="18" width="3.44140625" customWidth="1"/>
    <col min="19" max="21" width="9.109375" style="113" customWidth="1"/>
    <col min="23" max="23" width="10.88671875" style="1" customWidth="1"/>
    <col min="24" max="24" width="20.88671875" style="1" customWidth="1"/>
    <col min="25" max="26" width="23.44140625" style="1" customWidth="1"/>
    <col min="27" max="27" width="18.88671875" style="1" customWidth="1"/>
    <col min="28" max="28" width="3.44140625" style="6" customWidth="1"/>
    <col min="29" max="29" width="6.109375" style="6" customWidth="1"/>
    <col min="30" max="30" width="6.5546875" style="113" customWidth="1"/>
    <col min="31" max="31" width="6.44140625" customWidth="1"/>
    <col min="32" max="32" width="5.88671875" style="66" customWidth="1"/>
  </cols>
  <sheetData>
    <row r="1" spans="1:34" x14ac:dyDescent="0.3">
      <c r="L1" s="201" t="s">
        <v>670</v>
      </c>
      <c r="N1" s="475"/>
      <c r="O1" s="476"/>
      <c r="P1" s="476"/>
      <c r="S1" s="161"/>
      <c r="T1" s="162" t="s">
        <v>317</v>
      </c>
      <c r="U1" s="163"/>
      <c r="W1" s="251" t="s">
        <v>669</v>
      </c>
      <c r="X1" s="252"/>
      <c r="Y1" s="252"/>
      <c r="Z1" s="158"/>
      <c r="AA1" s="158"/>
      <c r="AB1" s="136"/>
      <c r="AC1" s="111"/>
      <c r="AE1" s="225" t="s">
        <v>428</v>
      </c>
    </row>
    <row r="2" spans="1:34" s="99" customFormat="1" ht="30" customHeight="1" x14ac:dyDescent="0.3">
      <c r="A2" s="157" t="s">
        <v>320</v>
      </c>
      <c r="B2" s="89" t="s">
        <v>6</v>
      </c>
      <c r="C2" s="157"/>
      <c r="D2" s="157"/>
      <c r="E2" s="157"/>
      <c r="F2" s="222" t="s">
        <v>360</v>
      </c>
      <c r="G2" s="230"/>
      <c r="H2" s="164" t="s">
        <v>320</v>
      </c>
      <c r="I2" s="160" t="s">
        <v>318</v>
      </c>
      <c r="L2" s="157" t="s">
        <v>320</v>
      </c>
      <c r="M2" s="212" t="s">
        <v>6</v>
      </c>
      <c r="N2" s="211"/>
      <c r="O2" s="211"/>
      <c r="P2" s="211"/>
      <c r="Q2" s="222" t="s">
        <v>360</v>
      </c>
      <c r="R2" s="230"/>
      <c r="S2" s="164" t="s">
        <v>320</v>
      </c>
      <c r="T2" s="160" t="s">
        <v>318</v>
      </c>
      <c r="U2" s="165" t="s">
        <v>319</v>
      </c>
      <c r="W2" s="157" t="s">
        <v>320</v>
      </c>
      <c r="X2" s="89" t="s">
        <v>6</v>
      </c>
      <c r="Y2" s="157" t="s">
        <v>660</v>
      </c>
      <c r="Z2" s="157" t="s">
        <v>661</v>
      </c>
      <c r="AA2" s="157" t="s">
        <v>662</v>
      </c>
      <c r="AB2" s="136"/>
      <c r="AC2" s="136">
        <v>2019</v>
      </c>
      <c r="AD2" s="135">
        <v>2017</v>
      </c>
      <c r="AE2" s="245">
        <v>2016</v>
      </c>
      <c r="AF2" s="246">
        <v>2015</v>
      </c>
      <c r="AG2" s="237"/>
    </row>
    <row r="3" spans="1:34" ht="30" customHeight="1" x14ac:dyDescent="0.3">
      <c r="A3" s="157" t="s">
        <v>342</v>
      </c>
      <c r="B3" s="89" t="s">
        <v>241</v>
      </c>
      <c r="C3" s="136"/>
      <c r="D3" s="136"/>
      <c r="E3" s="204"/>
      <c r="F3" s="135"/>
      <c r="H3" s="134" t="s">
        <v>321</v>
      </c>
      <c r="I3" s="159">
        <v>1</v>
      </c>
      <c r="L3" s="157" t="s">
        <v>342</v>
      </c>
      <c r="M3" s="212" t="s">
        <v>241</v>
      </c>
      <c r="N3" s="299"/>
      <c r="O3" s="299"/>
      <c r="P3" s="300"/>
      <c r="Q3" s="135"/>
      <c r="S3" s="134" t="s">
        <v>321</v>
      </c>
      <c r="T3" s="159">
        <v>1</v>
      </c>
      <c r="U3" s="166">
        <v>3</v>
      </c>
      <c r="W3" s="157" t="s">
        <v>342</v>
      </c>
      <c r="X3" s="89" t="s">
        <v>241</v>
      </c>
      <c r="Y3" s="136"/>
      <c r="Z3" s="136"/>
      <c r="AA3" s="204"/>
      <c r="AB3" s="136"/>
      <c r="AC3" s="136"/>
      <c r="AD3" s="159"/>
      <c r="AE3" s="242"/>
      <c r="AF3" s="243"/>
      <c r="AG3" s="234"/>
      <c r="AH3">
        <f>(AD3-AC3)</f>
        <v>0</v>
      </c>
    </row>
    <row r="4" spans="1:34" ht="30" customHeight="1" x14ac:dyDescent="0.3">
      <c r="A4" s="156" t="s">
        <v>186</v>
      </c>
      <c r="B4" s="455" t="s">
        <v>145</v>
      </c>
      <c r="C4" s="205" t="s">
        <v>851</v>
      </c>
      <c r="D4" s="206" t="s">
        <v>852</v>
      </c>
      <c r="E4" s="206" t="s">
        <v>467</v>
      </c>
      <c r="F4" s="135">
        <v>5</v>
      </c>
      <c r="H4" s="134" t="s">
        <v>341</v>
      </c>
      <c r="I4" s="159"/>
      <c r="L4" s="211" t="s">
        <v>186</v>
      </c>
      <c r="M4" s="301" t="s">
        <v>145</v>
      </c>
      <c r="N4" s="213" t="s">
        <v>544</v>
      </c>
      <c r="O4" s="302" t="s">
        <v>510</v>
      </c>
      <c r="P4" s="302" t="s">
        <v>493</v>
      </c>
      <c r="Q4" s="135">
        <v>8</v>
      </c>
      <c r="S4" s="134" t="s">
        <v>341</v>
      </c>
      <c r="T4" s="159"/>
      <c r="U4" s="166">
        <v>0</v>
      </c>
      <c r="W4" s="211" t="s">
        <v>186</v>
      </c>
      <c r="X4" s="90" t="s">
        <v>145</v>
      </c>
      <c r="Y4" s="205" t="s">
        <v>361</v>
      </c>
      <c r="Z4" s="206" t="s">
        <v>362</v>
      </c>
      <c r="AA4" s="206" t="s">
        <v>363</v>
      </c>
      <c r="AB4" s="136"/>
      <c r="AC4" s="135">
        <v>8</v>
      </c>
      <c r="AD4" s="135">
        <v>6</v>
      </c>
      <c r="AE4" s="50">
        <v>8</v>
      </c>
      <c r="AF4" s="51">
        <v>3</v>
      </c>
      <c r="AG4" s="234"/>
      <c r="AH4">
        <f t="shared" ref="AH4:AH67" si="0">(AD4-AC4)</f>
        <v>-2</v>
      </c>
    </row>
    <row r="5" spans="1:34" ht="30" customHeight="1" x14ac:dyDescent="0.3">
      <c r="A5" s="156" t="s">
        <v>19</v>
      </c>
      <c r="B5" s="455" t="s">
        <v>14</v>
      </c>
      <c r="C5" s="205" t="s">
        <v>472</v>
      </c>
      <c r="D5" s="206" t="s">
        <v>466</v>
      </c>
      <c r="E5" s="206" t="s">
        <v>853</v>
      </c>
      <c r="F5" s="135">
        <v>3</v>
      </c>
      <c r="H5" s="134" t="s">
        <v>322</v>
      </c>
      <c r="I5" s="159">
        <v>3</v>
      </c>
      <c r="L5" s="211" t="s">
        <v>19</v>
      </c>
      <c r="M5" s="301" t="s">
        <v>14</v>
      </c>
      <c r="N5" s="213" t="s">
        <v>472</v>
      </c>
      <c r="O5" s="302" t="s">
        <v>471</v>
      </c>
      <c r="P5" s="302" t="s">
        <v>545</v>
      </c>
      <c r="Q5" s="135">
        <v>3</v>
      </c>
      <c r="S5" s="134" t="s">
        <v>322</v>
      </c>
      <c r="T5" s="159">
        <v>3</v>
      </c>
      <c r="U5" s="166">
        <v>31</v>
      </c>
      <c r="W5" s="211" t="s">
        <v>19</v>
      </c>
      <c r="X5" s="90" t="s">
        <v>14</v>
      </c>
      <c r="Y5" s="205" t="s">
        <v>364</v>
      </c>
      <c r="Z5" s="206" t="s">
        <v>365</v>
      </c>
      <c r="AA5" s="206" t="s">
        <v>366</v>
      </c>
      <c r="AB5" s="136"/>
      <c r="AC5" s="135">
        <v>3</v>
      </c>
      <c r="AD5" s="135">
        <v>5</v>
      </c>
      <c r="AE5" s="50">
        <v>6</v>
      </c>
      <c r="AF5" s="51">
        <v>2</v>
      </c>
      <c r="AG5" s="234"/>
      <c r="AH5">
        <f t="shared" si="0"/>
        <v>2</v>
      </c>
    </row>
    <row r="6" spans="1:34" ht="30" customHeight="1" x14ac:dyDescent="0.3">
      <c r="A6" s="156" t="s">
        <v>20</v>
      </c>
      <c r="B6" s="455" t="s">
        <v>15</v>
      </c>
      <c r="C6" s="205" t="s">
        <v>475</v>
      </c>
      <c r="D6" s="206" t="s">
        <v>466</v>
      </c>
      <c r="E6" s="206" t="s">
        <v>853</v>
      </c>
      <c r="F6" s="135">
        <v>4</v>
      </c>
      <c r="H6" s="134" t="s">
        <v>323</v>
      </c>
      <c r="I6" s="159">
        <v>4</v>
      </c>
      <c r="L6" s="211" t="s">
        <v>20</v>
      </c>
      <c r="M6" s="301" t="s">
        <v>15</v>
      </c>
      <c r="N6" s="213" t="s">
        <v>475</v>
      </c>
      <c r="O6" s="302" t="s">
        <v>466</v>
      </c>
      <c r="P6" s="302"/>
      <c r="Q6" s="135">
        <v>2</v>
      </c>
      <c r="S6" s="134" t="s">
        <v>323</v>
      </c>
      <c r="T6" s="159">
        <v>4</v>
      </c>
      <c r="U6" s="166">
        <v>47</v>
      </c>
      <c r="W6" s="211" t="s">
        <v>20</v>
      </c>
      <c r="X6" s="90" t="s">
        <v>15</v>
      </c>
      <c r="Y6" s="205" t="s">
        <v>367</v>
      </c>
      <c r="Z6" s="206" t="s">
        <v>368</v>
      </c>
      <c r="AA6" s="206" t="s">
        <v>369</v>
      </c>
      <c r="AB6" s="136"/>
      <c r="AC6" s="135">
        <v>2</v>
      </c>
      <c r="AD6" s="135">
        <v>5</v>
      </c>
      <c r="AE6" s="50">
        <v>6</v>
      </c>
      <c r="AF6" s="51">
        <v>5</v>
      </c>
      <c r="AG6" s="234"/>
      <c r="AH6">
        <f t="shared" si="0"/>
        <v>3</v>
      </c>
    </row>
    <row r="7" spans="1:34" ht="30" customHeight="1" x14ac:dyDescent="0.3">
      <c r="A7" s="156" t="s">
        <v>21</v>
      </c>
      <c r="B7" s="455" t="s">
        <v>146</v>
      </c>
      <c r="C7" s="205" t="s">
        <v>465</v>
      </c>
      <c r="D7" s="206"/>
      <c r="E7" s="206"/>
      <c r="F7" s="135">
        <v>1</v>
      </c>
      <c r="H7" s="134" t="s">
        <v>324</v>
      </c>
      <c r="I7" s="159">
        <v>5</v>
      </c>
      <c r="L7" s="211" t="s">
        <v>21</v>
      </c>
      <c r="M7" s="301" t="s">
        <v>240</v>
      </c>
      <c r="N7" s="213" t="s">
        <v>472</v>
      </c>
      <c r="O7" s="302"/>
      <c r="P7" s="302"/>
      <c r="Q7" s="135">
        <v>1</v>
      </c>
      <c r="S7" s="134" t="s">
        <v>324</v>
      </c>
      <c r="T7" s="159">
        <v>5</v>
      </c>
      <c r="U7" s="166">
        <v>52</v>
      </c>
      <c r="W7" s="211" t="s">
        <v>21</v>
      </c>
      <c r="X7" s="90" t="s">
        <v>240</v>
      </c>
      <c r="Y7" s="205" t="s">
        <v>367</v>
      </c>
      <c r="Z7" s="206" t="s">
        <v>370</v>
      </c>
      <c r="AA7" s="206"/>
      <c r="AB7" s="136"/>
      <c r="AC7" s="135">
        <v>1</v>
      </c>
      <c r="AD7" s="135">
        <v>2</v>
      </c>
      <c r="AE7" s="50">
        <v>3</v>
      </c>
      <c r="AF7" s="51">
        <v>2</v>
      </c>
      <c r="AG7" s="234"/>
      <c r="AH7">
        <f t="shared" si="0"/>
        <v>1</v>
      </c>
    </row>
    <row r="8" spans="1:34" ht="30" customHeight="1" x14ac:dyDescent="0.3">
      <c r="A8" s="156" t="s">
        <v>22</v>
      </c>
      <c r="B8" s="455" t="s">
        <v>16</v>
      </c>
      <c r="C8" s="205" t="s">
        <v>472</v>
      </c>
      <c r="D8" s="206" t="s">
        <v>473</v>
      </c>
      <c r="E8" s="206" t="s">
        <v>467</v>
      </c>
      <c r="F8" s="135">
        <v>4</v>
      </c>
      <c r="H8" s="134" t="s">
        <v>325</v>
      </c>
      <c r="I8" s="159">
        <v>6</v>
      </c>
      <c r="L8" s="211" t="s">
        <v>22</v>
      </c>
      <c r="M8" s="301" t="s">
        <v>16</v>
      </c>
      <c r="N8" s="213" t="s">
        <v>472</v>
      </c>
      <c r="O8" s="302" t="s">
        <v>510</v>
      </c>
      <c r="P8" s="302"/>
      <c r="Q8" s="135">
        <v>2</v>
      </c>
      <c r="S8" s="134" t="s">
        <v>325</v>
      </c>
      <c r="T8" s="159">
        <v>6</v>
      </c>
      <c r="U8" s="166">
        <v>60</v>
      </c>
      <c r="W8" s="211" t="s">
        <v>22</v>
      </c>
      <c r="X8" s="90" t="s">
        <v>16</v>
      </c>
      <c r="Y8" s="205" t="s">
        <v>367</v>
      </c>
      <c r="Z8" s="206"/>
      <c r="AA8" s="206"/>
      <c r="AB8" s="136"/>
      <c r="AC8" s="135">
        <v>2</v>
      </c>
      <c r="AD8" s="135">
        <v>1</v>
      </c>
      <c r="AE8" s="50">
        <v>3</v>
      </c>
      <c r="AF8" s="51">
        <v>2</v>
      </c>
      <c r="AG8" s="234"/>
      <c r="AH8">
        <f t="shared" si="0"/>
        <v>-1</v>
      </c>
    </row>
    <row r="9" spans="1:34" ht="30" customHeight="1" x14ac:dyDescent="0.3">
      <c r="A9" s="156" t="s">
        <v>23</v>
      </c>
      <c r="B9" s="455" t="s">
        <v>17</v>
      </c>
      <c r="C9" s="205"/>
      <c r="D9" s="206"/>
      <c r="E9" s="206"/>
      <c r="F9" s="135">
        <v>0</v>
      </c>
      <c r="H9" s="134" t="s">
        <v>326</v>
      </c>
      <c r="I9" s="159">
        <v>7</v>
      </c>
      <c r="L9" s="211" t="s">
        <v>23</v>
      </c>
      <c r="M9" s="301" t="s">
        <v>17</v>
      </c>
      <c r="N9" s="213" t="s">
        <v>472</v>
      </c>
      <c r="O9" s="302" t="s">
        <v>473</v>
      </c>
      <c r="P9" s="302" t="s">
        <v>470</v>
      </c>
      <c r="Q9" s="135">
        <v>5</v>
      </c>
      <c r="S9" s="134" t="s">
        <v>326</v>
      </c>
      <c r="T9" s="159">
        <v>7</v>
      </c>
      <c r="U9" s="166">
        <v>65</v>
      </c>
      <c r="W9" s="211" t="s">
        <v>23</v>
      </c>
      <c r="X9" s="90" t="s">
        <v>17</v>
      </c>
      <c r="Y9" s="205" t="s">
        <v>371</v>
      </c>
      <c r="Z9" s="206" t="s">
        <v>368</v>
      </c>
      <c r="AA9" s="206" t="s">
        <v>369</v>
      </c>
      <c r="AB9" s="136"/>
      <c r="AC9" s="135">
        <v>5</v>
      </c>
      <c r="AD9" s="135">
        <v>3</v>
      </c>
      <c r="AE9" s="50">
        <v>0</v>
      </c>
      <c r="AF9" s="51">
        <v>0</v>
      </c>
      <c r="AG9" s="234"/>
      <c r="AH9">
        <f t="shared" si="0"/>
        <v>-2</v>
      </c>
    </row>
    <row r="10" spans="1:34" ht="30" customHeight="1" x14ac:dyDescent="0.3">
      <c r="A10" s="156" t="s">
        <v>24</v>
      </c>
      <c r="B10" s="455" t="s">
        <v>18</v>
      </c>
      <c r="C10" s="205" t="s">
        <v>472</v>
      </c>
      <c r="D10" s="206" t="s">
        <v>463</v>
      </c>
      <c r="E10" s="206" t="s">
        <v>470</v>
      </c>
      <c r="F10" s="135">
        <v>7</v>
      </c>
      <c r="H10" s="134" t="s">
        <v>327</v>
      </c>
      <c r="I10" s="159">
        <v>8</v>
      </c>
      <c r="L10" s="211" t="s">
        <v>24</v>
      </c>
      <c r="M10" s="301" t="s">
        <v>18</v>
      </c>
      <c r="N10" s="213" t="s">
        <v>472</v>
      </c>
      <c r="O10" s="302" t="s">
        <v>463</v>
      </c>
      <c r="P10" s="302" t="s">
        <v>545</v>
      </c>
      <c r="Q10" s="135">
        <v>3</v>
      </c>
      <c r="S10" s="134" t="s">
        <v>327</v>
      </c>
      <c r="T10" s="159">
        <v>8</v>
      </c>
      <c r="U10" s="166">
        <v>68</v>
      </c>
      <c r="W10" s="211" t="s">
        <v>24</v>
      </c>
      <c r="X10" s="90" t="s">
        <v>18</v>
      </c>
      <c r="Y10" s="205" t="s">
        <v>367</v>
      </c>
      <c r="Z10" s="206" t="s">
        <v>368</v>
      </c>
      <c r="AA10" s="206" t="s">
        <v>372</v>
      </c>
      <c r="AB10" s="136"/>
      <c r="AC10" s="135">
        <v>3</v>
      </c>
      <c r="AD10" s="135">
        <v>3</v>
      </c>
      <c r="AE10" s="50">
        <v>3</v>
      </c>
      <c r="AF10" s="51">
        <v>0</v>
      </c>
      <c r="AG10" s="234"/>
      <c r="AH10">
        <f t="shared" si="0"/>
        <v>0</v>
      </c>
    </row>
    <row r="11" spans="1:34" ht="30" customHeight="1" x14ac:dyDescent="0.3">
      <c r="A11" s="156" t="s">
        <v>25</v>
      </c>
      <c r="B11" s="455" t="s">
        <v>671</v>
      </c>
      <c r="C11" s="205" t="s">
        <v>854</v>
      </c>
      <c r="D11" s="206" t="s">
        <v>511</v>
      </c>
      <c r="E11" s="206" t="s">
        <v>467</v>
      </c>
      <c r="F11" s="135">
        <v>3</v>
      </c>
      <c r="H11" s="134" t="s">
        <v>231</v>
      </c>
      <c r="I11" s="159">
        <v>9</v>
      </c>
      <c r="L11" s="211" t="s">
        <v>25</v>
      </c>
      <c r="M11" s="301" t="s">
        <v>190</v>
      </c>
      <c r="N11" s="213" t="s">
        <v>492</v>
      </c>
      <c r="O11" s="302" t="s">
        <v>511</v>
      </c>
      <c r="P11" s="302" t="s">
        <v>512</v>
      </c>
      <c r="Q11" s="135">
        <v>5</v>
      </c>
      <c r="S11" s="134" t="s">
        <v>231</v>
      </c>
      <c r="T11" s="159">
        <v>9</v>
      </c>
      <c r="U11" s="166">
        <v>72</v>
      </c>
      <c r="W11" s="211" t="s">
        <v>25</v>
      </c>
      <c r="X11" s="90" t="s">
        <v>190</v>
      </c>
      <c r="Y11" s="205" t="s">
        <v>367</v>
      </c>
      <c r="Z11" s="206"/>
      <c r="AA11" s="206"/>
      <c r="AB11" s="136"/>
      <c r="AC11" s="135">
        <v>5</v>
      </c>
      <c r="AD11" s="135">
        <v>1</v>
      </c>
      <c r="AE11" s="50">
        <v>2</v>
      </c>
      <c r="AF11" s="51">
        <v>3</v>
      </c>
      <c r="AG11" s="234"/>
      <c r="AH11">
        <f t="shared" si="0"/>
        <v>-4</v>
      </c>
    </row>
    <row r="12" spans="1:34" ht="30" customHeight="1" x14ac:dyDescent="0.3">
      <c r="A12" s="156" t="s">
        <v>26</v>
      </c>
      <c r="B12" s="455" t="s">
        <v>672</v>
      </c>
      <c r="C12" s="205" t="s">
        <v>517</v>
      </c>
      <c r="D12" s="206" t="s">
        <v>855</v>
      </c>
      <c r="E12" s="206" t="s">
        <v>467</v>
      </c>
      <c r="F12" s="135">
        <v>4</v>
      </c>
      <c r="H12" s="134" t="s">
        <v>328</v>
      </c>
      <c r="I12" s="159">
        <v>12</v>
      </c>
      <c r="L12" s="211" t="s">
        <v>26</v>
      </c>
      <c r="M12" s="301" t="s">
        <v>147</v>
      </c>
      <c r="N12" s="213" t="s">
        <v>475</v>
      </c>
      <c r="O12" s="302" t="s">
        <v>466</v>
      </c>
      <c r="P12" s="302" t="s">
        <v>545</v>
      </c>
      <c r="Q12" s="135">
        <v>4</v>
      </c>
      <c r="S12" s="134" t="s">
        <v>328</v>
      </c>
      <c r="T12" s="159">
        <v>12</v>
      </c>
      <c r="U12" s="166">
        <v>101</v>
      </c>
      <c r="W12" s="211" t="s">
        <v>26</v>
      </c>
      <c r="X12" s="90" t="s">
        <v>147</v>
      </c>
      <c r="Y12" s="205" t="s">
        <v>373</v>
      </c>
      <c r="Z12" s="206" t="s">
        <v>374</v>
      </c>
      <c r="AA12" s="206"/>
      <c r="AB12" s="136"/>
      <c r="AC12" s="135">
        <v>4</v>
      </c>
      <c r="AD12" s="135">
        <v>2</v>
      </c>
      <c r="AE12" s="50">
        <v>4</v>
      </c>
      <c r="AF12" s="51">
        <v>2</v>
      </c>
      <c r="AG12" s="234"/>
      <c r="AH12">
        <f t="shared" si="0"/>
        <v>-2</v>
      </c>
    </row>
    <row r="13" spans="1:34" ht="30" customHeight="1" x14ac:dyDescent="0.3">
      <c r="A13" s="156" t="s">
        <v>27</v>
      </c>
      <c r="B13" s="455" t="s">
        <v>673</v>
      </c>
      <c r="C13" s="205"/>
      <c r="D13" s="206"/>
      <c r="E13" s="206"/>
      <c r="F13" s="135">
        <v>0</v>
      </c>
      <c r="H13" s="134" t="s">
        <v>329</v>
      </c>
      <c r="I13" s="159">
        <v>13</v>
      </c>
      <c r="L13" s="211" t="s">
        <v>27</v>
      </c>
      <c r="M13" s="301" t="s">
        <v>148</v>
      </c>
      <c r="N13" s="213" t="s">
        <v>513</v>
      </c>
      <c r="O13" s="302" t="s">
        <v>466</v>
      </c>
      <c r="P13" s="302"/>
      <c r="Q13" s="135">
        <v>2</v>
      </c>
      <c r="S13" s="134" t="s">
        <v>329</v>
      </c>
      <c r="T13" s="159">
        <v>13</v>
      </c>
      <c r="U13" s="166">
        <v>108</v>
      </c>
      <c r="W13" s="211" t="s">
        <v>27</v>
      </c>
      <c r="X13" s="90" t="s">
        <v>148</v>
      </c>
      <c r="Y13" s="205" t="s">
        <v>373</v>
      </c>
      <c r="Z13" s="206" t="s">
        <v>374</v>
      </c>
      <c r="AA13" s="206" t="s">
        <v>372</v>
      </c>
      <c r="AB13" s="136"/>
      <c r="AC13" s="135">
        <v>2</v>
      </c>
      <c r="AD13" s="135">
        <v>3</v>
      </c>
      <c r="AE13" s="50">
        <v>0</v>
      </c>
      <c r="AF13" s="51">
        <v>0</v>
      </c>
      <c r="AG13" s="234"/>
      <c r="AH13">
        <f t="shared" si="0"/>
        <v>1</v>
      </c>
    </row>
    <row r="14" spans="1:34" ht="30" customHeight="1" x14ac:dyDescent="0.3">
      <c r="A14" s="156" t="s">
        <v>28</v>
      </c>
      <c r="B14" s="455" t="s">
        <v>674</v>
      </c>
      <c r="C14" s="205"/>
      <c r="D14" s="206"/>
      <c r="E14" s="206"/>
      <c r="F14" s="135">
        <v>0</v>
      </c>
      <c r="H14" s="134" t="s">
        <v>330</v>
      </c>
      <c r="I14" s="159">
        <v>14</v>
      </c>
      <c r="L14" s="211" t="s">
        <v>28</v>
      </c>
      <c r="M14" s="301" t="s">
        <v>149</v>
      </c>
      <c r="N14" s="213" t="s">
        <v>475</v>
      </c>
      <c r="O14" s="302" t="s">
        <v>473</v>
      </c>
      <c r="P14" s="302"/>
      <c r="Q14" s="135">
        <v>2</v>
      </c>
      <c r="S14" s="134" t="s">
        <v>330</v>
      </c>
      <c r="T14" s="159">
        <v>14</v>
      </c>
      <c r="U14" s="166">
        <v>117</v>
      </c>
      <c r="W14" s="211" t="s">
        <v>28</v>
      </c>
      <c r="X14" s="90" t="s">
        <v>149</v>
      </c>
      <c r="Y14" s="205" t="s">
        <v>364</v>
      </c>
      <c r="Z14" s="206" t="s">
        <v>368</v>
      </c>
      <c r="AA14" s="206" t="s">
        <v>363</v>
      </c>
      <c r="AB14" s="136"/>
      <c r="AC14" s="135">
        <v>2</v>
      </c>
      <c r="AD14" s="135">
        <v>3</v>
      </c>
      <c r="AE14" s="50">
        <v>2</v>
      </c>
      <c r="AF14" s="51">
        <v>0</v>
      </c>
      <c r="AG14" s="234"/>
      <c r="AH14">
        <f t="shared" si="0"/>
        <v>1</v>
      </c>
    </row>
    <row r="15" spans="1:34" ht="30" customHeight="1" thickBot="1" x14ac:dyDescent="0.35">
      <c r="A15" s="156" t="s">
        <v>30</v>
      </c>
      <c r="B15" s="455" t="s">
        <v>675</v>
      </c>
      <c r="C15" s="205" t="s">
        <v>856</v>
      </c>
      <c r="D15" s="206"/>
      <c r="E15" s="206"/>
      <c r="F15" s="135">
        <v>1</v>
      </c>
      <c r="H15" s="167" t="s">
        <v>331</v>
      </c>
      <c r="I15" s="168">
        <v>15</v>
      </c>
      <c r="L15" s="211" t="s">
        <v>29</v>
      </c>
      <c r="M15" s="301" t="s">
        <v>150</v>
      </c>
      <c r="N15" s="213"/>
      <c r="O15" s="302"/>
      <c r="P15" s="302"/>
      <c r="Q15" s="135">
        <v>0</v>
      </c>
      <c r="S15" s="167" t="s">
        <v>331</v>
      </c>
      <c r="T15" s="168">
        <v>15</v>
      </c>
      <c r="U15" s="169">
        <v>121</v>
      </c>
      <c r="W15" s="211" t="s">
        <v>29</v>
      </c>
      <c r="X15" s="90" t="s">
        <v>150</v>
      </c>
      <c r="Y15" s="205" t="s">
        <v>364</v>
      </c>
      <c r="Z15" s="206"/>
      <c r="AA15" s="206"/>
      <c r="AB15" s="136"/>
      <c r="AC15" s="135">
        <v>0</v>
      </c>
      <c r="AD15" s="135">
        <v>1</v>
      </c>
      <c r="AE15" s="50">
        <v>1</v>
      </c>
      <c r="AF15" s="51">
        <v>0</v>
      </c>
      <c r="AG15" s="234"/>
      <c r="AH15">
        <f t="shared" si="0"/>
        <v>1</v>
      </c>
    </row>
    <row r="16" spans="1:34" ht="30" customHeight="1" x14ac:dyDescent="0.3">
      <c r="A16" s="156" t="s">
        <v>31</v>
      </c>
      <c r="B16" s="455" t="s">
        <v>676</v>
      </c>
      <c r="C16" s="205"/>
      <c r="D16" s="206"/>
      <c r="E16" s="206"/>
      <c r="F16" s="135">
        <v>0</v>
      </c>
      <c r="H16" s="113"/>
      <c r="I16" s="113"/>
      <c r="L16" s="211" t="s">
        <v>30</v>
      </c>
      <c r="M16" s="301" t="s">
        <v>151</v>
      </c>
      <c r="N16" s="213" t="s">
        <v>535</v>
      </c>
      <c r="O16" s="302" t="s">
        <v>473</v>
      </c>
      <c r="P16" s="302" t="s">
        <v>485</v>
      </c>
      <c r="Q16" s="135">
        <v>5</v>
      </c>
      <c r="W16" s="211" t="s">
        <v>30</v>
      </c>
      <c r="X16" s="90" t="s">
        <v>151</v>
      </c>
      <c r="Y16" s="205"/>
      <c r="Z16" s="206"/>
      <c r="AA16" s="206"/>
      <c r="AB16" s="136"/>
      <c r="AC16" s="135">
        <v>5</v>
      </c>
      <c r="AD16" s="135"/>
      <c r="AE16" s="50">
        <v>0</v>
      </c>
      <c r="AF16" s="51">
        <v>0</v>
      </c>
      <c r="AG16" s="234"/>
      <c r="AH16">
        <f t="shared" si="0"/>
        <v>-5</v>
      </c>
    </row>
    <row r="17" spans="1:34" ht="30" customHeight="1" x14ac:dyDescent="0.3">
      <c r="A17" s="156" t="s">
        <v>32</v>
      </c>
      <c r="B17" s="455" t="s">
        <v>677</v>
      </c>
      <c r="C17" s="205" t="s">
        <v>476</v>
      </c>
      <c r="D17" s="206" t="s">
        <v>463</v>
      </c>
      <c r="E17" s="206" t="s">
        <v>853</v>
      </c>
      <c r="F17" s="135">
        <v>4</v>
      </c>
      <c r="H17" s="113"/>
      <c r="I17" s="113"/>
      <c r="L17" s="211" t="s">
        <v>31</v>
      </c>
      <c r="M17" s="301" t="s">
        <v>152</v>
      </c>
      <c r="N17" s="213"/>
      <c r="O17" s="302"/>
      <c r="P17" s="302"/>
      <c r="Q17" s="135">
        <v>0</v>
      </c>
      <c r="W17" s="211" t="s">
        <v>31</v>
      </c>
      <c r="X17" s="90" t="s">
        <v>152</v>
      </c>
      <c r="Y17" s="205" t="s">
        <v>375</v>
      </c>
      <c r="Z17" s="206" t="s">
        <v>376</v>
      </c>
      <c r="AA17" s="206"/>
      <c r="AB17" s="136"/>
      <c r="AC17" s="135">
        <v>0</v>
      </c>
      <c r="AD17" s="135">
        <v>2</v>
      </c>
      <c r="AE17" s="50">
        <v>1</v>
      </c>
      <c r="AF17" s="51">
        <v>0</v>
      </c>
      <c r="AG17" s="234"/>
      <c r="AH17">
        <f t="shared" si="0"/>
        <v>2</v>
      </c>
    </row>
    <row r="18" spans="1:34" ht="30" customHeight="1" x14ac:dyDescent="0.3">
      <c r="A18" s="156" t="s">
        <v>33</v>
      </c>
      <c r="B18" s="455" t="s">
        <v>678</v>
      </c>
      <c r="C18" s="205" t="s">
        <v>465</v>
      </c>
      <c r="D18" s="206" t="s">
        <v>458</v>
      </c>
      <c r="E18" s="206" t="s">
        <v>853</v>
      </c>
      <c r="F18" s="135">
        <v>6</v>
      </c>
      <c r="H18" s="113"/>
      <c r="I18" s="113"/>
      <c r="L18" s="211" t="s">
        <v>32</v>
      </c>
      <c r="M18" s="301" t="s">
        <v>153</v>
      </c>
      <c r="N18" s="213" t="s">
        <v>465</v>
      </c>
      <c r="O18" s="302" t="s">
        <v>546</v>
      </c>
      <c r="P18" s="302" t="s">
        <v>467</v>
      </c>
      <c r="Q18" s="135">
        <v>5</v>
      </c>
      <c r="W18" s="211" t="s">
        <v>32</v>
      </c>
      <c r="X18" s="90" t="s">
        <v>153</v>
      </c>
      <c r="Y18" s="205" t="s">
        <v>377</v>
      </c>
      <c r="Z18" s="206" t="s">
        <v>378</v>
      </c>
      <c r="AA18" s="206" t="s">
        <v>372</v>
      </c>
      <c r="AB18" s="136"/>
      <c r="AC18" s="135">
        <v>5</v>
      </c>
      <c r="AD18" s="135">
        <v>3</v>
      </c>
      <c r="AE18" s="50">
        <v>3</v>
      </c>
      <c r="AF18" s="51">
        <v>1</v>
      </c>
      <c r="AG18" s="234"/>
      <c r="AH18">
        <f t="shared" si="0"/>
        <v>-2</v>
      </c>
    </row>
    <row r="19" spans="1:34" ht="30" customHeight="1" x14ac:dyDescent="0.3">
      <c r="A19" s="156" t="s">
        <v>34</v>
      </c>
      <c r="B19" s="455" t="s">
        <v>679</v>
      </c>
      <c r="C19" s="205"/>
      <c r="D19" s="206"/>
      <c r="E19" s="206"/>
      <c r="F19" s="135">
        <v>0</v>
      </c>
      <c r="H19" s="113"/>
      <c r="I19" s="113"/>
      <c r="L19" s="211" t="s">
        <v>33</v>
      </c>
      <c r="M19" s="301" t="s">
        <v>154</v>
      </c>
      <c r="N19" s="213" t="s">
        <v>462</v>
      </c>
      <c r="O19" s="302" t="s">
        <v>463</v>
      </c>
      <c r="P19" s="302" t="s">
        <v>545</v>
      </c>
      <c r="Q19" s="135">
        <v>3</v>
      </c>
      <c r="W19" s="211" t="s">
        <v>33</v>
      </c>
      <c r="X19" s="90" t="s">
        <v>154</v>
      </c>
      <c r="Y19" s="205" t="s">
        <v>379</v>
      </c>
      <c r="Z19" s="206" t="s">
        <v>362</v>
      </c>
      <c r="AA19" s="206" t="s">
        <v>369</v>
      </c>
      <c r="AB19" s="136"/>
      <c r="AC19" s="135">
        <v>3</v>
      </c>
      <c r="AD19" s="135">
        <v>5</v>
      </c>
      <c r="AE19" s="50">
        <v>4</v>
      </c>
      <c r="AF19" s="51">
        <v>4</v>
      </c>
      <c r="AG19" s="234"/>
      <c r="AH19">
        <f t="shared" si="0"/>
        <v>2</v>
      </c>
    </row>
    <row r="20" spans="1:34" ht="30" customHeight="1" x14ac:dyDescent="0.3">
      <c r="A20" s="156" t="s">
        <v>35</v>
      </c>
      <c r="B20" s="455" t="s">
        <v>680</v>
      </c>
      <c r="C20" s="205" t="s">
        <v>472</v>
      </c>
      <c r="D20" s="206" t="s">
        <v>463</v>
      </c>
      <c r="E20" s="206" t="s">
        <v>853</v>
      </c>
      <c r="F20" s="135">
        <v>3</v>
      </c>
      <c r="H20" s="113"/>
      <c r="I20" s="113"/>
      <c r="L20" s="211" t="s">
        <v>34</v>
      </c>
      <c r="M20" s="301" t="s">
        <v>155</v>
      </c>
      <c r="N20" s="213" t="s">
        <v>475</v>
      </c>
      <c r="O20" s="302" t="s">
        <v>466</v>
      </c>
      <c r="P20" s="302" t="s">
        <v>467</v>
      </c>
      <c r="Q20" s="135">
        <v>3</v>
      </c>
      <c r="W20" s="211" t="s">
        <v>34</v>
      </c>
      <c r="X20" s="90" t="s">
        <v>155</v>
      </c>
      <c r="Y20" s="205" t="s">
        <v>367</v>
      </c>
      <c r="Z20" s="206" t="s">
        <v>374</v>
      </c>
      <c r="AA20" s="206"/>
      <c r="AB20" s="136"/>
      <c r="AC20" s="135">
        <v>3</v>
      </c>
      <c r="AD20" s="135">
        <v>2</v>
      </c>
      <c r="AE20" s="50">
        <v>2</v>
      </c>
      <c r="AF20" s="51">
        <v>1</v>
      </c>
      <c r="AG20" s="234"/>
      <c r="AH20">
        <f t="shared" si="0"/>
        <v>-1</v>
      </c>
    </row>
    <row r="21" spans="1:34" ht="30" customHeight="1" x14ac:dyDescent="0.3">
      <c r="A21" s="156" t="s">
        <v>36</v>
      </c>
      <c r="B21" s="455" t="s">
        <v>681</v>
      </c>
      <c r="C21" s="205" t="s">
        <v>465</v>
      </c>
      <c r="D21" s="206" t="s">
        <v>473</v>
      </c>
      <c r="E21" s="206" t="s">
        <v>467</v>
      </c>
      <c r="F21" s="135">
        <v>6</v>
      </c>
      <c r="H21" s="113"/>
      <c r="I21" s="113"/>
      <c r="L21" s="211" t="s">
        <v>35</v>
      </c>
      <c r="M21" s="301" t="s">
        <v>156</v>
      </c>
      <c r="N21" s="213" t="s">
        <v>472</v>
      </c>
      <c r="O21" s="302"/>
      <c r="P21" s="302"/>
      <c r="Q21" s="135">
        <v>1</v>
      </c>
      <c r="W21" s="211" t="s">
        <v>35</v>
      </c>
      <c r="X21" s="90" t="s">
        <v>156</v>
      </c>
      <c r="Y21" s="205" t="s">
        <v>367</v>
      </c>
      <c r="Z21" s="206" t="s">
        <v>374</v>
      </c>
      <c r="AA21" s="206" t="s">
        <v>366</v>
      </c>
      <c r="AB21" s="136"/>
      <c r="AC21" s="135">
        <v>1</v>
      </c>
      <c r="AD21" s="135">
        <v>5</v>
      </c>
      <c r="AE21" s="50">
        <v>3</v>
      </c>
      <c r="AF21" s="51">
        <v>6</v>
      </c>
      <c r="AG21" s="234"/>
      <c r="AH21">
        <f t="shared" si="0"/>
        <v>4</v>
      </c>
    </row>
    <row r="22" spans="1:34" ht="30" customHeight="1" x14ac:dyDescent="0.3">
      <c r="A22" s="156" t="s">
        <v>37</v>
      </c>
      <c r="B22" s="456" t="s">
        <v>683</v>
      </c>
      <c r="C22" s="205" t="s">
        <v>857</v>
      </c>
      <c r="D22" s="206" t="s">
        <v>466</v>
      </c>
      <c r="E22" s="206" t="s">
        <v>470</v>
      </c>
      <c r="F22" s="135">
        <v>7</v>
      </c>
      <c r="H22" s="113"/>
      <c r="I22" s="113"/>
      <c r="L22" s="211" t="s">
        <v>36</v>
      </c>
      <c r="M22" s="301" t="s">
        <v>157</v>
      </c>
      <c r="N22" s="213" t="s">
        <v>492</v>
      </c>
      <c r="O22" s="302" t="s">
        <v>546</v>
      </c>
      <c r="P22" s="302" t="s">
        <v>467</v>
      </c>
      <c r="Q22" s="135">
        <v>5</v>
      </c>
      <c r="W22" s="211" t="s">
        <v>36</v>
      </c>
      <c r="X22" s="90" t="s">
        <v>157</v>
      </c>
      <c r="Y22" s="205" t="s">
        <v>364</v>
      </c>
      <c r="Z22" s="206" t="s">
        <v>378</v>
      </c>
      <c r="AA22" s="206" t="s">
        <v>380</v>
      </c>
      <c r="AB22" s="136"/>
      <c r="AC22" s="135">
        <v>5</v>
      </c>
      <c r="AD22" s="135">
        <v>8</v>
      </c>
      <c r="AE22" s="50">
        <v>5</v>
      </c>
      <c r="AF22" s="51">
        <v>3</v>
      </c>
      <c r="AG22" s="234"/>
      <c r="AH22">
        <f t="shared" si="0"/>
        <v>3</v>
      </c>
    </row>
    <row r="23" spans="1:34" ht="30" customHeight="1" x14ac:dyDescent="0.3">
      <c r="A23" s="156" t="s">
        <v>38</v>
      </c>
      <c r="B23" s="456" t="s">
        <v>682</v>
      </c>
      <c r="C23" s="205" t="s">
        <v>475</v>
      </c>
      <c r="D23" s="206" t="s">
        <v>473</v>
      </c>
      <c r="E23" s="206" t="s">
        <v>474</v>
      </c>
      <c r="F23" s="135">
        <v>5</v>
      </c>
      <c r="H23" s="113"/>
      <c r="I23" s="113"/>
      <c r="L23" s="211" t="s">
        <v>37</v>
      </c>
      <c r="M23" s="301" t="s">
        <v>432</v>
      </c>
      <c r="N23" s="213" t="s">
        <v>472</v>
      </c>
      <c r="O23" s="302" t="s">
        <v>466</v>
      </c>
      <c r="P23" s="302" t="s">
        <v>470</v>
      </c>
      <c r="Q23" s="135">
        <v>6</v>
      </c>
      <c r="W23" s="211" t="s">
        <v>37</v>
      </c>
      <c r="X23" s="90" t="s">
        <v>158</v>
      </c>
      <c r="Y23" s="205" t="s">
        <v>381</v>
      </c>
      <c r="Z23" s="206" t="s">
        <v>362</v>
      </c>
      <c r="AA23" s="206" t="s">
        <v>382</v>
      </c>
      <c r="AB23" s="136"/>
      <c r="AC23" s="135">
        <v>6</v>
      </c>
      <c r="AD23" s="135">
        <v>6</v>
      </c>
      <c r="AE23" s="50">
        <v>6</v>
      </c>
      <c r="AF23" s="51">
        <v>5</v>
      </c>
      <c r="AG23" s="234"/>
      <c r="AH23">
        <f t="shared" si="0"/>
        <v>0</v>
      </c>
    </row>
    <row r="24" spans="1:34" ht="30" customHeight="1" x14ac:dyDescent="0.3">
      <c r="A24" s="156" t="s">
        <v>39</v>
      </c>
      <c r="B24" s="455" t="s">
        <v>159</v>
      </c>
      <c r="C24" s="205" t="s">
        <v>859</v>
      </c>
      <c r="D24" s="206" t="s">
        <v>852</v>
      </c>
      <c r="E24" s="206" t="s">
        <v>474</v>
      </c>
      <c r="F24" s="135">
        <v>6</v>
      </c>
      <c r="H24" s="113"/>
      <c r="I24" s="113"/>
      <c r="L24" s="211" t="s">
        <v>38</v>
      </c>
      <c r="M24" s="301" t="s">
        <v>431</v>
      </c>
      <c r="N24" s="213" t="s">
        <v>472</v>
      </c>
      <c r="O24" s="302" t="s">
        <v>546</v>
      </c>
      <c r="P24" s="302" t="s">
        <v>467</v>
      </c>
      <c r="Q24" s="135">
        <v>7</v>
      </c>
      <c r="W24" s="211" t="s">
        <v>38</v>
      </c>
      <c r="X24" s="90" t="s">
        <v>159</v>
      </c>
      <c r="Y24" s="205" t="s">
        <v>371</v>
      </c>
      <c r="Z24" s="206" t="s">
        <v>362</v>
      </c>
      <c r="AA24" s="206" t="s">
        <v>372</v>
      </c>
      <c r="AB24" s="136"/>
      <c r="AC24" s="135">
        <v>7</v>
      </c>
      <c r="AD24" s="135">
        <v>4</v>
      </c>
      <c r="AE24" s="50">
        <v>6</v>
      </c>
      <c r="AF24" s="51">
        <v>6</v>
      </c>
      <c r="AG24" s="234"/>
      <c r="AH24">
        <f t="shared" si="0"/>
        <v>-3</v>
      </c>
    </row>
    <row r="25" spans="1:34" ht="30" customHeight="1" x14ac:dyDescent="0.3">
      <c r="A25" s="457" t="s">
        <v>40</v>
      </c>
      <c r="B25" s="458" t="s">
        <v>161</v>
      </c>
      <c r="C25" s="207" t="s">
        <v>472</v>
      </c>
      <c r="D25" s="208" t="s">
        <v>466</v>
      </c>
      <c r="E25" s="208"/>
      <c r="F25" s="449">
        <v>3</v>
      </c>
      <c r="H25" s="113"/>
      <c r="I25" s="113"/>
      <c r="L25" s="211" t="s">
        <v>39</v>
      </c>
      <c r="M25" s="301" t="s">
        <v>159</v>
      </c>
      <c r="N25" s="213" t="s">
        <v>472</v>
      </c>
      <c r="O25" s="302" t="s">
        <v>463</v>
      </c>
      <c r="P25" s="302" t="s">
        <v>490</v>
      </c>
      <c r="Q25" s="135">
        <v>4</v>
      </c>
      <c r="W25" s="211" t="s">
        <v>39</v>
      </c>
      <c r="X25" s="90" t="s">
        <v>160</v>
      </c>
      <c r="Y25" s="205"/>
      <c r="Z25" s="206"/>
      <c r="AA25" s="206"/>
      <c r="AB25" s="136"/>
      <c r="AC25" s="135">
        <v>4</v>
      </c>
      <c r="AD25" s="135"/>
      <c r="AE25" s="50">
        <v>1</v>
      </c>
      <c r="AF25" s="51">
        <v>0</v>
      </c>
      <c r="AG25" s="235"/>
      <c r="AH25">
        <f t="shared" si="0"/>
        <v>-4</v>
      </c>
    </row>
    <row r="26" spans="1:34" ht="30" customHeight="1" x14ac:dyDescent="0.3">
      <c r="A26" s="450"/>
      <c r="B26" s="451"/>
      <c r="C26" s="452"/>
      <c r="D26" s="453"/>
      <c r="E26" s="453"/>
      <c r="F26" s="454"/>
      <c r="H26" s="113"/>
      <c r="I26" s="113"/>
      <c r="L26" s="226" t="s">
        <v>40</v>
      </c>
      <c r="M26" s="303" t="s">
        <v>161</v>
      </c>
      <c r="N26" s="304" t="s">
        <v>475</v>
      </c>
      <c r="O26" s="305" t="s">
        <v>466</v>
      </c>
      <c r="P26" s="305" t="s">
        <v>467</v>
      </c>
      <c r="Q26" s="135">
        <v>4</v>
      </c>
      <c r="W26" s="226" t="s">
        <v>40</v>
      </c>
      <c r="X26" s="91" t="s">
        <v>161</v>
      </c>
      <c r="Y26" s="207" t="s">
        <v>367</v>
      </c>
      <c r="Z26" s="208" t="s">
        <v>374</v>
      </c>
      <c r="AA26" s="208"/>
      <c r="AB26" s="136"/>
      <c r="AC26" s="135">
        <v>4</v>
      </c>
      <c r="AD26" s="135">
        <v>2</v>
      </c>
      <c r="AE26" s="50">
        <v>2</v>
      </c>
      <c r="AF26" s="51">
        <v>2</v>
      </c>
      <c r="AG26" s="234"/>
      <c r="AH26">
        <f t="shared" si="0"/>
        <v>-2</v>
      </c>
    </row>
    <row r="27" spans="1:34" ht="30" customHeight="1" x14ac:dyDescent="0.3">
      <c r="A27" s="85"/>
      <c r="B27" s="111"/>
      <c r="C27" s="6"/>
      <c r="D27" s="6"/>
      <c r="E27" s="6"/>
      <c r="F27" s="59"/>
      <c r="H27" s="113"/>
      <c r="I27" s="113"/>
      <c r="L27" s="211" t="s">
        <v>189</v>
      </c>
      <c r="M27" s="301" t="s">
        <v>239</v>
      </c>
      <c r="N27" s="209"/>
      <c r="O27" s="209"/>
      <c r="P27" s="209"/>
      <c r="Q27" s="135">
        <v>0</v>
      </c>
      <c r="W27" s="211" t="s">
        <v>189</v>
      </c>
      <c r="X27" s="90" t="s">
        <v>239</v>
      </c>
      <c r="Y27" s="209" t="s">
        <v>373</v>
      </c>
      <c r="Z27" s="209"/>
      <c r="AA27" s="209"/>
      <c r="AB27" s="136"/>
      <c r="AC27" s="135">
        <v>0</v>
      </c>
      <c r="AD27" s="135">
        <v>1</v>
      </c>
      <c r="AE27" s="50">
        <v>1</v>
      </c>
      <c r="AF27" s="51">
        <v>0</v>
      </c>
      <c r="AG27" s="238"/>
      <c r="AH27">
        <f t="shared" si="0"/>
        <v>1</v>
      </c>
    </row>
    <row r="28" spans="1:34" ht="30" customHeight="1" x14ac:dyDescent="0.3">
      <c r="A28" s="8"/>
      <c r="B28" s="4"/>
      <c r="C28" s="6"/>
      <c r="D28" s="6"/>
      <c r="E28" s="6"/>
      <c r="F28" s="59"/>
      <c r="H28" s="113"/>
      <c r="I28" s="113"/>
      <c r="W28" s="8"/>
      <c r="Y28" s="8"/>
      <c r="Z28" s="8"/>
      <c r="AA28" s="8"/>
      <c r="AB28" s="136"/>
      <c r="AC28" s="59"/>
      <c r="AD28" s="59"/>
      <c r="AE28" s="247"/>
      <c r="AF28" s="20"/>
      <c r="AG28" s="239"/>
      <c r="AH28">
        <f t="shared" si="0"/>
        <v>0</v>
      </c>
    </row>
    <row r="29" spans="1:34" s="84" customFormat="1" ht="30" customHeight="1" x14ac:dyDescent="0.3">
      <c r="A29" s="226" t="s">
        <v>343</v>
      </c>
      <c r="B29" s="356" t="s">
        <v>242</v>
      </c>
      <c r="C29" s="357"/>
      <c r="D29" s="157"/>
      <c r="E29" s="89"/>
      <c r="F29" s="223"/>
      <c r="G29"/>
      <c r="H29" s="113"/>
      <c r="I29" s="158"/>
      <c r="L29" s="226" t="s">
        <v>343</v>
      </c>
      <c r="M29" s="92" t="s">
        <v>242</v>
      </c>
      <c r="N29" s="210"/>
      <c r="O29" s="211"/>
      <c r="P29" s="212"/>
      <c r="Q29" s="223"/>
      <c r="R29"/>
      <c r="S29" s="158"/>
      <c r="T29" s="158"/>
      <c r="U29" s="158"/>
      <c r="W29" s="226" t="s">
        <v>343</v>
      </c>
      <c r="X29" s="92" t="s">
        <v>242</v>
      </c>
      <c r="Y29" s="210"/>
      <c r="Z29" s="211"/>
      <c r="AA29" s="212"/>
      <c r="AB29" s="136"/>
      <c r="AC29" s="223"/>
      <c r="AD29" s="223"/>
      <c r="AE29" s="247"/>
      <c r="AF29" s="236"/>
      <c r="AG29" s="232"/>
      <c r="AH29">
        <f t="shared" si="0"/>
        <v>0</v>
      </c>
    </row>
    <row r="30" spans="1:34" ht="30" customHeight="1" x14ac:dyDescent="0.3">
      <c r="A30" s="459" t="s">
        <v>42</v>
      </c>
      <c r="B30" s="203" t="s">
        <v>170</v>
      </c>
      <c r="C30" s="205" t="s">
        <v>476</v>
      </c>
      <c r="D30" s="205" t="s">
        <v>477</v>
      </c>
      <c r="E30" s="214" t="s">
        <v>490</v>
      </c>
      <c r="F30" s="135">
        <v>4</v>
      </c>
      <c r="H30" s="113"/>
      <c r="I30" s="113"/>
      <c r="L30" s="227" t="s">
        <v>42</v>
      </c>
      <c r="M30" s="298" t="s">
        <v>170</v>
      </c>
      <c r="N30" s="213" t="s">
        <v>465</v>
      </c>
      <c r="O30" s="213" t="s">
        <v>461</v>
      </c>
      <c r="P30" s="306" t="s">
        <v>518</v>
      </c>
      <c r="Q30" s="135">
        <v>10</v>
      </c>
      <c r="W30" s="227" t="s">
        <v>42</v>
      </c>
      <c r="X30" s="93" t="s">
        <v>170</v>
      </c>
      <c r="Y30" s="213" t="s">
        <v>383</v>
      </c>
      <c r="Z30" s="205" t="s">
        <v>384</v>
      </c>
      <c r="AA30" s="214" t="s">
        <v>385</v>
      </c>
      <c r="AB30" s="136"/>
      <c r="AC30" s="135">
        <v>10</v>
      </c>
      <c r="AD30" s="135">
        <v>5</v>
      </c>
      <c r="AE30" s="50">
        <v>3</v>
      </c>
      <c r="AF30" s="51">
        <v>4</v>
      </c>
      <c r="AG30" s="57"/>
      <c r="AH30">
        <f t="shared" si="0"/>
        <v>-5</v>
      </c>
    </row>
    <row r="31" spans="1:34" ht="30" customHeight="1" x14ac:dyDescent="0.3">
      <c r="A31" s="459" t="s">
        <v>43</v>
      </c>
      <c r="B31" s="203" t="s">
        <v>171</v>
      </c>
      <c r="C31" s="205" t="s">
        <v>459</v>
      </c>
      <c r="D31" s="205" t="s">
        <v>466</v>
      </c>
      <c r="E31" s="214"/>
      <c r="F31" s="135">
        <v>2</v>
      </c>
      <c r="H31" s="113"/>
      <c r="I31" s="113"/>
      <c r="L31" s="227" t="s">
        <v>43</v>
      </c>
      <c r="M31" s="298" t="s">
        <v>171</v>
      </c>
      <c r="N31" s="213" t="s">
        <v>519</v>
      </c>
      <c r="O31" s="213" t="s">
        <v>461</v>
      </c>
      <c r="P31" s="306" t="s">
        <v>467</v>
      </c>
      <c r="Q31" s="135">
        <v>5</v>
      </c>
      <c r="W31" s="227" t="s">
        <v>43</v>
      </c>
      <c r="X31" s="93" t="s">
        <v>171</v>
      </c>
      <c r="Y31" s="213" t="s">
        <v>383</v>
      </c>
      <c r="Z31" s="213"/>
      <c r="AA31" s="214"/>
      <c r="AB31" s="136"/>
      <c r="AC31" s="135">
        <v>5</v>
      </c>
      <c r="AD31" s="135">
        <v>1</v>
      </c>
      <c r="AE31" s="50">
        <v>3</v>
      </c>
      <c r="AF31" s="51">
        <v>2</v>
      </c>
      <c r="AG31" s="57"/>
      <c r="AH31">
        <f t="shared" si="0"/>
        <v>-4</v>
      </c>
    </row>
    <row r="32" spans="1:34" ht="30" customHeight="1" x14ac:dyDescent="0.3">
      <c r="A32" s="459" t="s">
        <v>44</v>
      </c>
      <c r="B32" s="203" t="s">
        <v>162</v>
      </c>
      <c r="C32" s="205" t="s">
        <v>856</v>
      </c>
      <c r="D32" s="205" t="s">
        <v>900</v>
      </c>
      <c r="E32" s="214" t="s">
        <v>467</v>
      </c>
      <c r="F32" s="135">
        <v>6</v>
      </c>
      <c r="H32" s="113"/>
      <c r="I32" s="113"/>
      <c r="L32" s="227" t="s">
        <v>44</v>
      </c>
      <c r="M32" s="298" t="s">
        <v>162</v>
      </c>
      <c r="N32" s="213" t="s">
        <v>459</v>
      </c>
      <c r="O32" s="213" t="s">
        <v>520</v>
      </c>
      <c r="P32" s="306" t="s">
        <v>490</v>
      </c>
      <c r="Q32" s="135">
        <v>12</v>
      </c>
      <c r="W32" s="227" t="s">
        <v>44</v>
      </c>
      <c r="X32" s="93" t="s">
        <v>162</v>
      </c>
      <c r="Y32" s="213" t="s">
        <v>386</v>
      </c>
      <c r="Z32" s="213" t="s">
        <v>387</v>
      </c>
      <c r="AA32" s="214" t="s">
        <v>388</v>
      </c>
      <c r="AB32" s="136"/>
      <c r="AC32" s="135">
        <v>12</v>
      </c>
      <c r="AD32" s="135">
        <v>4</v>
      </c>
      <c r="AE32" s="50">
        <v>12</v>
      </c>
      <c r="AF32" s="51">
        <v>11</v>
      </c>
      <c r="AG32" s="57"/>
      <c r="AH32">
        <f t="shared" si="0"/>
        <v>-8</v>
      </c>
    </row>
    <row r="33" spans="1:34" ht="30" customHeight="1" x14ac:dyDescent="0.3">
      <c r="A33" s="459" t="s">
        <v>45</v>
      </c>
      <c r="B33" s="203" t="s">
        <v>163</v>
      </c>
      <c r="C33" s="205" t="s">
        <v>459</v>
      </c>
      <c r="D33" s="205" t="s">
        <v>477</v>
      </c>
      <c r="E33" s="214" t="s">
        <v>853</v>
      </c>
      <c r="F33" s="135">
        <v>6</v>
      </c>
      <c r="H33" s="113"/>
      <c r="I33" s="113"/>
      <c r="L33" s="227" t="s">
        <v>45</v>
      </c>
      <c r="M33" s="298" t="s">
        <v>163</v>
      </c>
      <c r="N33" s="213" t="s">
        <v>459</v>
      </c>
      <c r="O33" s="213" t="s">
        <v>461</v>
      </c>
      <c r="P33" s="306" t="s">
        <v>467</v>
      </c>
      <c r="Q33" s="135">
        <v>5</v>
      </c>
      <c r="W33" s="227" t="s">
        <v>45</v>
      </c>
      <c r="X33" s="93" t="s">
        <v>163</v>
      </c>
      <c r="Y33" s="213" t="s">
        <v>371</v>
      </c>
      <c r="Z33" s="213" t="s">
        <v>389</v>
      </c>
      <c r="AA33" s="214"/>
      <c r="AB33" s="136"/>
      <c r="AC33" s="135">
        <v>5</v>
      </c>
      <c r="AD33" s="135">
        <v>2</v>
      </c>
      <c r="AE33" s="50">
        <v>11</v>
      </c>
      <c r="AF33" s="51">
        <v>8</v>
      </c>
      <c r="AG33" s="57"/>
      <c r="AH33">
        <f t="shared" si="0"/>
        <v>-3</v>
      </c>
    </row>
    <row r="34" spans="1:34" ht="30" customHeight="1" x14ac:dyDescent="0.3">
      <c r="A34" s="459" t="s">
        <v>46</v>
      </c>
      <c r="B34" s="203" t="s">
        <v>685</v>
      </c>
      <c r="C34" s="205" t="s">
        <v>472</v>
      </c>
      <c r="D34" s="205" t="s">
        <v>900</v>
      </c>
      <c r="E34" s="214" t="s">
        <v>467</v>
      </c>
      <c r="F34" s="135">
        <v>4</v>
      </c>
      <c r="H34" s="113"/>
      <c r="I34" s="113"/>
      <c r="L34" s="227" t="s">
        <v>46</v>
      </c>
      <c r="M34" s="298" t="s">
        <v>164</v>
      </c>
      <c r="N34" s="213" t="s">
        <v>476</v>
      </c>
      <c r="O34" s="213" t="s">
        <v>466</v>
      </c>
      <c r="P34" s="306"/>
      <c r="Q34" s="135">
        <v>2</v>
      </c>
      <c r="W34" s="227" t="s">
        <v>46</v>
      </c>
      <c r="X34" s="93" t="s">
        <v>164</v>
      </c>
      <c r="Y34" s="213" t="s">
        <v>383</v>
      </c>
      <c r="Z34" s="213" t="s">
        <v>390</v>
      </c>
      <c r="AA34" s="214"/>
      <c r="AB34" s="136"/>
      <c r="AC34" s="135">
        <v>2</v>
      </c>
      <c r="AD34" s="135">
        <v>2</v>
      </c>
      <c r="AE34" s="50">
        <v>3</v>
      </c>
      <c r="AF34" s="51">
        <v>0</v>
      </c>
      <c r="AG34" s="57"/>
      <c r="AH34">
        <f t="shared" si="0"/>
        <v>0</v>
      </c>
    </row>
    <row r="35" spans="1:34" ht="30" customHeight="1" x14ac:dyDescent="0.3">
      <c r="A35" s="459" t="s">
        <v>47</v>
      </c>
      <c r="B35" s="203" t="s">
        <v>684</v>
      </c>
      <c r="C35" s="205"/>
      <c r="D35" s="205"/>
      <c r="E35" s="214"/>
      <c r="F35" s="135">
        <v>0</v>
      </c>
      <c r="H35" s="113"/>
      <c r="I35" s="113"/>
      <c r="L35" s="227" t="s">
        <v>47</v>
      </c>
      <c r="M35" s="298" t="s">
        <v>632</v>
      </c>
      <c r="N35" s="213" t="s">
        <v>472</v>
      </c>
      <c r="O35" s="213"/>
      <c r="P35" s="306"/>
      <c r="Q35" s="135">
        <v>1</v>
      </c>
      <c r="W35" s="227" t="s">
        <v>47</v>
      </c>
      <c r="X35" s="93" t="s">
        <v>13</v>
      </c>
      <c r="Y35" s="213"/>
      <c r="Z35" s="213"/>
      <c r="AA35" s="214"/>
      <c r="AB35" s="136"/>
      <c r="AC35" s="135">
        <v>1</v>
      </c>
      <c r="AD35" s="135"/>
      <c r="AE35" s="50">
        <v>1</v>
      </c>
      <c r="AF35" s="51">
        <v>0</v>
      </c>
      <c r="AG35" s="57"/>
      <c r="AH35">
        <f t="shared" si="0"/>
        <v>-1</v>
      </c>
    </row>
    <row r="36" spans="1:34" ht="30" customHeight="1" x14ac:dyDescent="0.3">
      <c r="A36" s="459" t="s">
        <v>48</v>
      </c>
      <c r="B36" s="203" t="s">
        <v>686</v>
      </c>
      <c r="C36" s="205" t="s">
        <v>465</v>
      </c>
      <c r="D36" s="205" t="s">
        <v>900</v>
      </c>
      <c r="E36" s="214"/>
      <c r="F36" s="135">
        <v>2</v>
      </c>
      <c r="H36" s="113"/>
      <c r="I36" s="113"/>
      <c r="L36" s="227" t="s">
        <v>48</v>
      </c>
      <c r="M36" s="298" t="s">
        <v>634</v>
      </c>
      <c r="N36" s="213" t="s">
        <v>462</v>
      </c>
      <c r="O36" s="213" t="s">
        <v>458</v>
      </c>
      <c r="P36" s="306" t="s">
        <v>474</v>
      </c>
      <c r="Q36" s="135">
        <v>4</v>
      </c>
      <c r="W36" s="227" t="s">
        <v>48</v>
      </c>
      <c r="X36" s="93" t="s">
        <v>165</v>
      </c>
      <c r="Y36" s="213" t="s">
        <v>379</v>
      </c>
      <c r="Z36" s="213" t="s">
        <v>370</v>
      </c>
      <c r="AA36" s="214" t="s">
        <v>391</v>
      </c>
      <c r="AB36" s="136"/>
      <c r="AC36" s="135">
        <v>4</v>
      </c>
      <c r="AD36" s="135">
        <v>4</v>
      </c>
      <c r="AE36" s="50">
        <v>4</v>
      </c>
      <c r="AF36" s="51">
        <v>4</v>
      </c>
      <c r="AG36" s="57"/>
      <c r="AH36">
        <f t="shared" si="0"/>
        <v>0</v>
      </c>
    </row>
    <row r="37" spans="1:34" ht="30" customHeight="1" x14ac:dyDescent="0.3">
      <c r="A37" s="459" t="s">
        <v>49</v>
      </c>
      <c r="B37" s="203" t="s">
        <v>687</v>
      </c>
      <c r="C37" s="205" t="s">
        <v>465</v>
      </c>
      <c r="D37" s="205"/>
      <c r="E37" s="214"/>
      <c r="F37" s="135">
        <v>1</v>
      </c>
      <c r="H37" s="113"/>
      <c r="I37" s="113"/>
      <c r="L37" s="227" t="s">
        <v>49</v>
      </c>
      <c r="M37" s="298" t="s">
        <v>633</v>
      </c>
      <c r="N37" s="213" t="s">
        <v>462</v>
      </c>
      <c r="O37" s="213" t="s">
        <v>463</v>
      </c>
      <c r="P37" s="306" t="s">
        <v>545</v>
      </c>
      <c r="Q37" s="135">
        <v>5</v>
      </c>
      <c r="W37" s="227" t="s">
        <v>49</v>
      </c>
      <c r="X37" s="93" t="s">
        <v>12</v>
      </c>
      <c r="Y37" s="213" t="s">
        <v>364</v>
      </c>
      <c r="Z37" s="213" t="s">
        <v>370</v>
      </c>
      <c r="AA37" s="214" t="s">
        <v>392</v>
      </c>
      <c r="AB37" s="136"/>
      <c r="AC37" s="135">
        <v>5</v>
      </c>
      <c r="AD37" s="135">
        <v>7</v>
      </c>
      <c r="AE37" s="50">
        <v>4</v>
      </c>
      <c r="AF37" s="51">
        <v>4</v>
      </c>
      <c r="AG37" s="57"/>
      <c r="AH37">
        <f t="shared" si="0"/>
        <v>2</v>
      </c>
    </row>
    <row r="38" spans="1:34" ht="30" customHeight="1" x14ac:dyDescent="0.3">
      <c r="A38" s="459" t="s">
        <v>50</v>
      </c>
      <c r="B38" s="136" t="s">
        <v>691</v>
      </c>
      <c r="C38" s="205"/>
      <c r="D38" s="205"/>
      <c r="E38" s="214"/>
      <c r="F38" s="135"/>
      <c r="H38" s="113"/>
      <c r="I38" s="113"/>
      <c r="L38" s="227" t="s">
        <v>50</v>
      </c>
      <c r="M38" s="298" t="s">
        <v>166</v>
      </c>
      <c r="N38" s="213" t="s">
        <v>469</v>
      </c>
      <c r="O38" s="213"/>
      <c r="P38" s="306"/>
      <c r="Q38" s="135">
        <v>1</v>
      </c>
      <c r="W38" s="227" t="s">
        <v>50</v>
      </c>
      <c r="X38" s="93" t="s">
        <v>166</v>
      </c>
      <c r="Y38" s="213" t="s">
        <v>371</v>
      </c>
      <c r="Z38" s="213"/>
      <c r="AA38" s="214"/>
      <c r="AB38" s="136"/>
      <c r="AC38" s="135">
        <v>1</v>
      </c>
      <c r="AD38" s="135">
        <v>1</v>
      </c>
      <c r="AE38" s="50">
        <v>1</v>
      </c>
      <c r="AF38" s="51">
        <v>1</v>
      </c>
      <c r="AG38" s="57"/>
      <c r="AH38">
        <f t="shared" si="0"/>
        <v>0</v>
      </c>
    </row>
    <row r="39" spans="1:34" ht="30" customHeight="1" x14ac:dyDescent="0.3">
      <c r="A39" s="459" t="s">
        <v>51</v>
      </c>
      <c r="B39" s="203" t="s">
        <v>688</v>
      </c>
      <c r="C39" s="205" t="s">
        <v>857</v>
      </c>
      <c r="D39" s="205" t="s">
        <v>486</v>
      </c>
      <c r="E39" s="214" t="s">
        <v>467</v>
      </c>
      <c r="F39" s="135">
        <v>5</v>
      </c>
      <c r="H39" s="113"/>
      <c r="I39" s="113"/>
      <c r="L39" s="227" t="s">
        <v>51</v>
      </c>
      <c r="M39" s="298" t="s">
        <v>167</v>
      </c>
      <c r="N39" s="213" t="s">
        <v>475</v>
      </c>
      <c r="O39" s="213" t="s">
        <v>466</v>
      </c>
      <c r="P39" s="306"/>
      <c r="Q39" s="135">
        <v>2</v>
      </c>
      <c r="W39" s="227" t="s">
        <v>51</v>
      </c>
      <c r="X39" s="93" t="s">
        <v>167</v>
      </c>
      <c r="Y39" s="213" t="s">
        <v>393</v>
      </c>
      <c r="Z39" s="213" t="s">
        <v>374</v>
      </c>
      <c r="AA39" s="214" t="s">
        <v>372</v>
      </c>
      <c r="AB39" s="136"/>
      <c r="AC39" s="135">
        <v>2</v>
      </c>
      <c r="AD39" s="135">
        <v>4</v>
      </c>
      <c r="AE39" s="50">
        <v>8</v>
      </c>
      <c r="AF39" s="51">
        <v>7</v>
      </c>
      <c r="AG39" s="57"/>
      <c r="AH39">
        <f t="shared" si="0"/>
        <v>2</v>
      </c>
    </row>
    <row r="40" spans="1:34" ht="30" customHeight="1" x14ac:dyDescent="0.3">
      <c r="A40" s="459" t="s">
        <v>52</v>
      </c>
      <c r="B40" s="203" t="s">
        <v>689</v>
      </c>
      <c r="C40" s="205" t="s">
        <v>468</v>
      </c>
      <c r="D40" s="205" t="s">
        <v>466</v>
      </c>
      <c r="E40" s="214"/>
      <c r="F40" s="135">
        <v>2</v>
      </c>
      <c r="H40" s="113"/>
      <c r="I40" s="113"/>
      <c r="L40" s="227" t="s">
        <v>52</v>
      </c>
      <c r="M40" s="298" t="s">
        <v>5</v>
      </c>
      <c r="N40" s="213" t="s">
        <v>472</v>
      </c>
      <c r="O40" s="213"/>
      <c r="P40" s="306"/>
      <c r="Q40" s="135">
        <v>1</v>
      </c>
      <c r="W40" s="227" t="s">
        <v>52</v>
      </c>
      <c r="X40" s="93" t="s">
        <v>5</v>
      </c>
      <c r="Y40" s="213" t="s">
        <v>394</v>
      </c>
      <c r="Z40" s="213" t="s">
        <v>395</v>
      </c>
      <c r="AA40" s="214" t="s">
        <v>388</v>
      </c>
      <c r="AB40" s="136"/>
      <c r="AC40" s="135">
        <v>1</v>
      </c>
      <c r="AD40" s="135">
        <v>5</v>
      </c>
      <c r="AE40" s="50">
        <v>6</v>
      </c>
      <c r="AF40" s="51">
        <v>8</v>
      </c>
      <c r="AG40" s="57"/>
      <c r="AH40">
        <f t="shared" si="0"/>
        <v>4</v>
      </c>
    </row>
    <row r="41" spans="1:34" ht="30" customHeight="1" x14ac:dyDescent="0.3">
      <c r="A41" s="459" t="s">
        <v>53</v>
      </c>
      <c r="B41" s="203" t="s">
        <v>690</v>
      </c>
      <c r="C41" s="205" t="s">
        <v>475</v>
      </c>
      <c r="D41" s="205" t="s">
        <v>852</v>
      </c>
      <c r="E41" s="214" t="s">
        <v>467</v>
      </c>
      <c r="F41" s="135">
        <v>3</v>
      </c>
      <c r="H41" s="113"/>
      <c r="I41" s="113"/>
      <c r="L41" s="227" t="s">
        <v>53</v>
      </c>
      <c r="M41" s="298" t="s">
        <v>4</v>
      </c>
      <c r="N41" s="213"/>
      <c r="O41" s="213"/>
      <c r="P41" s="306"/>
      <c r="Q41" s="135">
        <v>0</v>
      </c>
      <c r="W41" s="227" t="s">
        <v>53</v>
      </c>
      <c r="X41" s="93" t="s">
        <v>4</v>
      </c>
      <c r="Y41" s="213" t="s">
        <v>371</v>
      </c>
      <c r="Z41" s="213" t="s">
        <v>370</v>
      </c>
      <c r="AA41" s="214"/>
      <c r="AB41" s="136"/>
      <c r="AC41" s="135">
        <v>0</v>
      </c>
      <c r="AD41" s="135">
        <v>2</v>
      </c>
      <c r="AE41" s="50">
        <v>8</v>
      </c>
      <c r="AF41" s="51">
        <v>8</v>
      </c>
      <c r="AG41" s="57"/>
      <c r="AH41">
        <f t="shared" si="0"/>
        <v>2</v>
      </c>
    </row>
    <row r="42" spans="1:34" ht="30" customHeight="1" x14ac:dyDescent="0.3">
      <c r="A42" s="459" t="s">
        <v>54</v>
      </c>
      <c r="B42" s="203" t="s">
        <v>692</v>
      </c>
      <c r="C42" s="205" t="s">
        <v>459</v>
      </c>
      <c r="D42" s="205"/>
      <c r="E42" s="214"/>
      <c r="F42" s="135">
        <v>1</v>
      </c>
      <c r="H42" s="158"/>
      <c r="I42" s="113"/>
      <c r="L42" s="227" t="s">
        <v>54</v>
      </c>
      <c r="M42" s="298" t="s">
        <v>168</v>
      </c>
      <c r="N42" s="213" t="s">
        <v>459</v>
      </c>
      <c r="O42" s="213"/>
      <c r="P42" s="306"/>
      <c r="Q42" s="135">
        <v>1</v>
      </c>
      <c r="W42" s="227" t="s">
        <v>54</v>
      </c>
      <c r="X42" s="93" t="s">
        <v>168</v>
      </c>
      <c r="Y42" s="213"/>
      <c r="Z42" s="213"/>
      <c r="AA42" s="214"/>
      <c r="AB42" s="136"/>
      <c r="AC42" s="135">
        <v>1</v>
      </c>
      <c r="AD42" s="135"/>
      <c r="AE42" s="50">
        <v>2</v>
      </c>
      <c r="AF42" s="51">
        <v>2</v>
      </c>
      <c r="AG42" s="57"/>
      <c r="AH42">
        <f t="shared" si="0"/>
        <v>-1</v>
      </c>
    </row>
    <row r="43" spans="1:34" ht="30" customHeight="1" x14ac:dyDescent="0.3">
      <c r="A43" s="459" t="s">
        <v>55</v>
      </c>
      <c r="B43" s="203" t="s">
        <v>169</v>
      </c>
      <c r="C43" s="205" t="s">
        <v>472</v>
      </c>
      <c r="D43" s="205" t="s">
        <v>852</v>
      </c>
      <c r="E43" s="214" t="s">
        <v>485</v>
      </c>
      <c r="F43" s="135">
        <v>3</v>
      </c>
      <c r="H43" s="113"/>
      <c r="I43" s="113"/>
      <c r="L43" s="228" t="s">
        <v>55</v>
      </c>
      <c r="M43" s="307" t="s">
        <v>169</v>
      </c>
      <c r="N43" s="213" t="s">
        <v>478</v>
      </c>
      <c r="O43" s="213" t="s">
        <v>520</v>
      </c>
      <c r="P43" s="306" t="s">
        <v>545</v>
      </c>
      <c r="Q43" s="135">
        <v>6</v>
      </c>
      <c r="W43" s="228" t="s">
        <v>55</v>
      </c>
      <c r="X43" s="203" t="s">
        <v>169</v>
      </c>
      <c r="Y43" s="213" t="s">
        <v>396</v>
      </c>
      <c r="Z43" s="213" t="s">
        <v>370</v>
      </c>
      <c r="AA43" s="214"/>
      <c r="AB43" s="136"/>
      <c r="AC43" s="135">
        <v>6</v>
      </c>
      <c r="AD43" s="135">
        <v>2</v>
      </c>
      <c r="AE43" s="50">
        <v>6</v>
      </c>
      <c r="AF43" s="51">
        <v>8</v>
      </c>
      <c r="AG43" s="58"/>
      <c r="AH43">
        <f t="shared" si="0"/>
        <v>-4</v>
      </c>
    </row>
    <row r="44" spans="1:34" ht="30" customHeight="1" x14ac:dyDescent="0.3">
      <c r="A44" s="8"/>
      <c r="B44" s="4"/>
      <c r="C44" s="6"/>
      <c r="D44" s="6"/>
      <c r="E44" s="6"/>
      <c r="F44" s="59"/>
      <c r="H44" s="113"/>
      <c r="I44" s="113"/>
      <c r="W44" s="8"/>
      <c r="Y44" s="8"/>
      <c r="Z44" s="8"/>
      <c r="AA44" s="8"/>
      <c r="AB44" s="136"/>
      <c r="AC44" s="59"/>
      <c r="AD44" s="59"/>
      <c r="AE44" s="50"/>
      <c r="AF44" s="20"/>
      <c r="AG44" s="233"/>
      <c r="AH44">
        <f t="shared" si="0"/>
        <v>0</v>
      </c>
    </row>
    <row r="45" spans="1:34" ht="30" customHeight="1" x14ac:dyDescent="0.3">
      <c r="A45" s="228" t="s">
        <v>344</v>
      </c>
      <c r="B45" s="94" t="s">
        <v>243</v>
      </c>
      <c r="C45" s="205"/>
      <c r="D45" s="205"/>
      <c r="E45" s="214"/>
      <c r="F45" s="135"/>
      <c r="H45" s="113"/>
      <c r="I45" s="113"/>
      <c r="L45" s="228" t="s">
        <v>344</v>
      </c>
      <c r="M45" s="308" t="s">
        <v>243</v>
      </c>
      <c r="N45" s="213"/>
      <c r="O45" s="213"/>
      <c r="P45" s="306"/>
      <c r="Q45" s="135"/>
      <c r="W45" s="228" t="s">
        <v>344</v>
      </c>
      <c r="X45" s="94" t="s">
        <v>243</v>
      </c>
      <c r="Y45" s="213"/>
      <c r="Z45" s="213"/>
      <c r="AA45" s="214"/>
      <c r="AB45" s="136"/>
      <c r="AC45" s="135"/>
      <c r="AD45" s="135"/>
      <c r="AE45" s="50"/>
      <c r="AF45" s="20"/>
      <c r="AG45" s="233"/>
      <c r="AH45">
        <f t="shared" si="0"/>
        <v>0</v>
      </c>
    </row>
    <row r="46" spans="1:34" ht="30" customHeight="1" x14ac:dyDescent="0.3">
      <c r="A46" s="157" t="s">
        <v>57</v>
      </c>
      <c r="B46" s="90" t="s">
        <v>58</v>
      </c>
      <c r="C46" s="205" t="s">
        <v>462</v>
      </c>
      <c r="D46" s="205"/>
      <c r="E46" s="205"/>
      <c r="F46" s="135">
        <v>1</v>
      </c>
      <c r="H46" s="113"/>
      <c r="I46" s="113"/>
      <c r="L46" s="157" t="s">
        <v>57</v>
      </c>
      <c r="M46" s="301" t="s">
        <v>58</v>
      </c>
      <c r="N46" s="213" t="s">
        <v>481</v>
      </c>
      <c r="O46" s="213" t="s">
        <v>458</v>
      </c>
      <c r="P46" s="213"/>
      <c r="Q46" s="135">
        <v>2</v>
      </c>
      <c r="W46" s="157" t="s">
        <v>57</v>
      </c>
      <c r="X46" s="90" t="s">
        <v>58</v>
      </c>
      <c r="Y46" s="205" t="s">
        <v>379</v>
      </c>
      <c r="Z46" s="205"/>
      <c r="AA46" s="205"/>
      <c r="AB46" s="136"/>
      <c r="AC46" s="135">
        <v>2</v>
      </c>
      <c r="AD46" s="135">
        <v>1</v>
      </c>
      <c r="AE46" s="50">
        <v>3</v>
      </c>
      <c r="AF46" s="51">
        <v>0</v>
      </c>
      <c r="AG46" s="57"/>
      <c r="AH46">
        <f t="shared" si="0"/>
        <v>-1</v>
      </c>
    </row>
    <row r="47" spans="1:34" ht="30" customHeight="1" x14ac:dyDescent="0.3">
      <c r="A47" s="211" t="s">
        <v>59</v>
      </c>
      <c r="B47" s="90" t="s">
        <v>60</v>
      </c>
      <c r="C47" s="205" t="s">
        <v>851</v>
      </c>
      <c r="D47" s="205" t="s">
        <v>855</v>
      </c>
      <c r="E47" s="205"/>
      <c r="F47" s="135">
        <v>2</v>
      </c>
      <c r="H47" s="158"/>
      <c r="I47" s="113"/>
      <c r="L47" s="211" t="s">
        <v>59</v>
      </c>
      <c r="M47" s="301" t="s">
        <v>60</v>
      </c>
      <c r="N47" s="213" t="s">
        <v>479</v>
      </c>
      <c r="O47" s="213"/>
      <c r="P47" s="213"/>
      <c r="Q47" s="135">
        <v>1</v>
      </c>
      <c r="W47" s="211" t="s">
        <v>59</v>
      </c>
      <c r="X47" s="90" t="s">
        <v>60</v>
      </c>
      <c r="Y47" s="205" t="s">
        <v>397</v>
      </c>
      <c r="Z47" s="205"/>
      <c r="AA47" s="205"/>
      <c r="AB47" s="136"/>
      <c r="AC47" s="135">
        <v>1</v>
      </c>
      <c r="AD47" s="135">
        <v>1</v>
      </c>
      <c r="AE47" s="50">
        <v>1</v>
      </c>
      <c r="AF47" s="51">
        <v>0</v>
      </c>
      <c r="AG47" s="57"/>
      <c r="AH47">
        <f t="shared" si="0"/>
        <v>0</v>
      </c>
    </row>
    <row r="48" spans="1:34" ht="30" customHeight="1" x14ac:dyDescent="0.3">
      <c r="A48" s="211" t="s">
        <v>61</v>
      </c>
      <c r="B48" s="90" t="s">
        <v>62</v>
      </c>
      <c r="C48" s="205" t="s">
        <v>481</v>
      </c>
      <c r="D48" s="205" t="s">
        <v>463</v>
      </c>
      <c r="E48" s="205" t="s">
        <v>470</v>
      </c>
      <c r="F48" s="135">
        <v>4</v>
      </c>
      <c r="H48" s="113"/>
      <c r="I48" s="113"/>
      <c r="L48" s="211" t="s">
        <v>61</v>
      </c>
      <c r="M48" s="301" t="s">
        <v>62</v>
      </c>
      <c r="N48" s="213" t="s">
        <v>465</v>
      </c>
      <c r="O48" s="213" t="s">
        <v>473</v>
      </c>
      <c r="P48" s="213" t="s">
        <v>484</v>
      </c>
      <c r="Q48" s="135">
        <v>5</v>
      </c>
      <c r="W48" s="211" t="s">
        <v>61</v>
      </c>
      <c r="X48" s="90" t="s">
        <v>62</v>
      </c>
      <c r="Y48" s="205" t="s">
        <v>393</v>
      </c>
      <c r="Z48" s="205" t="s">
        <v>370</v>
      </c>
      <c r="AA48" s="205" t="s">
        <v>363</v>
      </c>
      <c r="AB48" s="136"/>
      <c r="AC48" s="135">
        <v>5</v>
      </c>
      <c r="AD48" s="135">
        <v>3</v>
      </c>
      <c r="AE48" s="50">
        <v>6</v>
      </c>
      <c r="AF48" s="51">
        <v>2</v>
      </c>
      <c r="AG48" s="58"/>
      <c r="AH48">
        <f t="shared" si="0"/>
        <v>-2</v>
      </c>
    </row>
    <row r="49" spans="1:34" ht="30" customHeight="1" x14ac:dyDescent="0.3">
      <c r="A49" s="8"/>
      <c r="B49" s="4"/>
      <c r="C49" s="6"/>
      <c r="D49" s="6"/>
      <c r="E49" s="6"/>
      <c r="F49" s="59"/>
      <c r="H49" s="113"/>
      <c r="I49" s="113"/>
      <c r="W49" s="8"/>
      <c r="Y49" s="8"/>
      <c r="Z49" s="8"/>
      <c r="AA49" s="8"/>
      <c r="AB49" s="136"/>
      <c r="AC49" s="59"/>
      <c r="AD49" s="135"/>
      <c r="AE49" s="50"/>
      <c r="AF49" s="244"/>
      <c r="AG49" s="55"/>
      <c r="AH49">
        <f t="shared" si="0"/>
        <v>0</v>
      </c>
    </row>
    <row r="50" spans="1:34" ht="30" customHeight="1" x14ac:dyDescent="0.3">
      <c r="A50" s="211" t="s">
        <v>345</v>
      </c>
      <c r="B50" s="89" t="s">
        <v>244</v>
      </c>
      <c r="C50" s="205"/>
      <c r="D50" s="205"/>
      <c r="E50" s="205"/>
      <c r="F50" s="135"/>
      <c r="H50" s="158"/>
      <c r="I50" s="113"/>
      <c r="L50" s="211" t="s">
        <v>345</v>
      </c>
      <c r="M50" s="212" t="s">
        <v>244</v>
      </c>
      <c r="N50" s="213"/>
      <c r="O50" s="213"/>
      <c r="P50" s="213"/>
      <c r="Q50" s="135"/>
      <c r="W50" s="211" t="s">
        <v>345</v>
      </c>
      <c r="X50" s="89" t="s">
        <v>244</v>
      </c>
      <c r="Y50" s="205"/>
      <c r="Z50" s="205"/>
      <c r="AA50" s="205"/>
      <c r="AB50" s="136"/>
      <c r="AC50" s="135"/>
      <c r="AD50" s="135"/>
      <c r="AE50" s="50"/>
      <c r="AF50" s="73"/>
      <c r="AG50" s="21"/>
      <c r="AH50">
        <f t="shared" si="0"/>
        <v>0</v>
      </c>
    </row>
    <row r="51" spans="1:34" ht="30" customHeight="1" x14ac:dyDescent="0.3">
      <c r="A51" s="211" t="s">
        <v>63</v>
      </c>
      <c r="B51" s="90" t="s">
        <v>176</v>
      </c>
      <c r="C51" s="205" t="s">
        <v>854</v>
      </c>
      <c r="D51" s="205" t="s">
        <v>473</v>
      </c>
      <c r="E51" s="205"/>
      <c r="F51" s="135">
        <v>2</v>
      </c>
      <c r="H51" s="113"/>
      <c r="I51" s="113"/>
      <c r="L51" s="211" t="s">
        <v>63</v>
      </c>
      <c r="M51" s="301" t="s">
        <v>176</v>
      </c>
      <c r="N51" s="213" t="s">
        <v>465</v>
      </c>
      <c r="O51" s="213" t="s">
        <v>495</v>
      </c>
      <c r="P51" s="213" t="s">
        <v>470</v>
      </c>
      <c r="Q51" s="135">
        <v>3</v>
      </c>
      <c r="W51" s="211" t="s">
        <v>63</v>
      </c>
      <c r="X51" s="90" t="s">
        <v>176</v>
      </c>
      <c r="Y51" s="205" t="s">
        <v>373</v>
      </c>
      <c r="Z51" s="205"/>
      <c r="AA51" s="205"/>
      <c r="AB51" s="136"/>
      <c r="AC51" s="135">
        <v>3</v>
      </c>
      <c r="AD51" s="135">
        <v>1</v>
      </c>
      <c r="AE51" s="50">
        <v>0</v>
      </c>
      <c r="AF51" s="51">
        <v>2</v>
      </c>
      <c r="AG51" s="57"/>
      <c r="AH51">
        <f t="shared" si="0"/>
        <v>-2</v>
      </c>
    </row>
    <row r="52" spans="1:34" ht="30" customHeight="1" x14ac:dyDescent="0.3">
      <c r="A52" s="211" t="s">
        <v>64</v>
      </c>
      <c r="B52" s="90" t="s">
        <v>174</v>
      </c>
      <c r="C52" s="205" t="s">
        <v>475</v>
      </c>
      <c r="D52" s="205" t="s">
        <v>907</v>
      </c>
      <c r="E52" s="205" t="s">
        <v>474</v>
      </c>
      <c r="F52" s="135">
        <v>4</v>
      </c>
      <c r="H52" s="113"/>
      <c r="I52" s="113"/>
      <c r="L52" s="211" t="s">
        <v>64</v>
      </c>
      <c r="M52" s="301" t="s">
        <v>174</v>
      </c>
      <c r="N52" s="213" t="s">
        <v>475</v>
      </c>
      <c r="O52" s="213" t="s">
        <v>466</v>
      </c>
      <c r="P52" s="213" t="s">
        <v>484</v>
      </c>
      <c r="Q52" s="135">
        <v>3</v>
      </c>
      <c r="W52" s="211" t="s">
        <v>64</v>
      </c>
      <c r="X52" s="90" t="s">
        <v>174</v>
      </c>
      <c r="Y52" s="205" t="s">
        <v>373</v>
      </c>
      <c r="Z52" s="205" t="s">
        <v>374</v>
      </c>
      <c r="AA52" s="205" t="s">
        <v>398</v>
      </c>
      <c r="AB52" s="136"/>
      <c r="AC52" s="135">
        <v>3</v>
      </c>
      <c r="AD52" s="135">
        <v>5</v>
      </c>
      <c r="AE52" s="50">
        <v>2</v>
      </c>
      <c r="AF52" s="51">
        <v>2</v>
      </c>
      <c r="AG52" s="57"/>
      <c r="AH52">
        <f t="shared" si="0"/>
        <v>2</v>
      </c>
    </row>
    <row r="53" spans="1:34" ht="30" customHeight="1" x14ac:dyDescent="0.3">
      <c r="A53" s="211" t="s">
        <v>65</v>
      </c>
      <c r="B53" s="90" t="s">
        <v>175</v>
      </c>
      <c r="C53" s="205" t="s">
        <v>854</v>
      </c>
      <c r="D53" s="205" t="s">
        <v>907</v>
      </c>
      <c r="E53" s="205"/>
      <c r="F53" s="135">
        <v>2</v>
      </c>
      <c r="H53" s="113"/>
      <c r="I53" s="113"/>
      <c r="L53" s="211" t="s">
        <v>65</v>
      </c>
      <c r="M53" s="301" t="s">
        <v>175</v>
      </c>
      <c r="N53" s="213" t="s">
        <v>478</v>
      </c>
      <c r="O53" s="213" t="s">
        <v>486</v>
      </c>
      <c r="P53" s="213" t="s">
        <v>464</v>
      </c>
      <c r="Q53" s="135">
        <v>4</v>
      </c>
      <c r="W53" s="211" t="s">
        <v>65</v>
      </c>
      <c r="X53" s="90" t="s">
        <v>175</v>
      </c>
      <c r="Y53" s="205" t="s">
        <v>394</v>
      </c>
      <c r="Z53" s="205" t="s">
        <v>368</v>
      </c>
      <c r="AA53" s="205"/>
      <c r="AB53" s="136"/>
      <c r="AC53" s="135">
        <v>4</v>
      </c>
      <c r="AD53" s="135">
        <v>2</v>
      </c>
      <c r="AE53" s="50">
        <v>3</v>
      </c>
      <c r="AF53" s="51">
        <v>7</v>
      </c>
      <c r="AG53" s="57"/>
      <c r="AH53">
        <f t="shared" si="0"/>
        <v>-2</v>
      </c>
    </row>
    <row r="54" spans="1:34" ht="30" customHeight="1" x14ac:dyDescent="0.3">
      <c r="A54" s="211" t="s">
        <v>66</v>
      </c>
      <c r="B54" s="90" t="s">
        <v>177</v>
      </c>
      <c r="C54" s="205" t="s">
        <v>468</v>
      </c>
      <c r="D54" s="205" t="s">
        <v>486</v>
      </c>
      <c r="E54" s="205"/>
      <c r="F54" s="135">
        <v>2</v>
      </c>
      <c r="H54" s="158"/>
      <c r="I54" s="113"/>
      <c r="L54" s="211" t="s">
        <v>66</v>
      </c>
      <c r="M54" s="301" t="s">
        <v>177</v>
      </c>
      <c r="N54" s="213" t="s">
        <v>481</v>
      </c>
      <c r="O54" s="213" t="s">
        <v>486</v>
      </c>
      <c r="P54" s="213" t="s">
        <v>464</v>
      </c>
      <c r="Q54" s="135">
        <v>7</v>
      </c>
      <c r="W54" s="211" t="s">
        <v>66</v>
      </c>
      <c r="X54" s="90" t="s">
        <v>177</v>
      </c>
      <c r="Y54" s="205" t="s">
        <v>377</v>
      </c>
      <c r="Z54" s="205" t="s">
        <v>368</v>
      </c>
      <c r="AA54" s="205" t="s">
        <v>369</v>
      </c>
      <c r="AB54" s="136"/>
      <c r="AC54" s="135">
        <v>7</v>
      </c>
      <c r="AD54" s="135">
        <v>8</v>
      </c>
      <c r="AE54" s="50">
        <v>9</v>
      </c>
      <c r="AF54" s="51">
        <v>5</v>
      </c>
      <c r="AG54" s="57"/>
      <c r="AH54">
        <f t="shared" si="0"/>
        <v>1</v>
      </c>
    </row>
    <row r="55" spans="1:34" ht="30" customHeight="1" x14ac:dyDescent="0.3">
      <c r="A55" s="211" t="s">
        <v>67</v>
      </c>
      <c r="B55" s="90" t="s">
        <v>333</v>
      </c>
      <c r="C55" s="205" t="s">
        <v>468</v>
      </c>
      <c r="D55" s="205" t="s">
        <v>486</v>
      </c>
      <c r="E55" s="205"/>
      <c r="F55" s="135">
        <v>2</v>
      </c>
      <c r="H55" s="113"/>
      <c r="I55" s="113"/>
      <c r="L55" s="211" t="s">
        <v>67</v>
      </c>
      <c r="M55" s="301" t="s">
        <v>333</v>
      </c>
      <c r="N55" s="213" t="s">
        <v>468</v>
      </c>
      <c r="O55" s="213" t="s">
        <v>533</v>
      </c>
      <c r="P55" s="213"/>
      <c r="Q55" s="135">
        <v>2</v>
      </c>
      <c r="W55" s="211" t="s">
        <v>67</v>
      </c>
      <c r="X55" s="90" t="s">
        <v>333</v>
      </c>
      <c r="Y55" s="205" t="s">
        <v>367</v>
      </c>
      <c r="Z55" s="205" t="s">
        <v>368</v>
      </c>
      <c r="AA55" s="205" t="s">
        <v>399</v>
      </c>
      <c r="AB55" s="136"/>
      <c r="AC55" s="135">
        <v>2</v>
      </c>
      <c r="AD55" s="135">
        <v>3</v>
      </c>
      <c r="AE55" s="50"/>
      <c r="AF55" s="51"/>
      <c r="AG55" s="57"/>
      <c r="AH55">
        <f t="shared" si="0"/>
        <v>1</v>
      </c>
    </row>
    <row r="56" spans="1:34" ht="30" customHeight="1" x14ac:dyDescent="0.3">
      <c r="A56" s="211" t="s">
        <v>332</v>
      </c>
      <c r="B56" s="90" t="s">
        <v>172</v>
      </c>
      <c r="C56" s="205" t="s">
        <v>475</v>
      </c>
      <c r="D56" s="205" t="s">
        <v>520</v>
      </c>
      <c r="E56" s="205" t="s">
        <v>912</v>
      </c>
      <c r="F56" s="135"/>
      <c r="H56" s="113"/>
      <c r="I56" s="113"/>
      <c r="L56" s="211" t="s">
        <v>332</v>
      </c>
      <c r="M56" s="301" t="s">
        <v>172</v>
      </c>
      <c r="N56" s="213" t="s">
        <v>472</v>
      </c>
      <c r="O56" s="213" t="s">
        <v>534</v>
      </c>
      <c r="P56" s="213" t="s">
        <v>542</v>
      </c>
      <c r="Q56" s="135">
        <v>14</v>
      </c>
      <c r="W56" s="211" t="s">
        <v>332</v>
      </c>
      <c r="X56" s="90" t="s">
        <v>172</v>
      </c>
      <c r="Y56" s="205" t="s">
        <v>400</v>
      </c>
      <c r="Z56" s="205" t="s">
        <v>401</v>
      </c>
      <c r="AA56" s="205" t="s">
        <v>372</v>
      </c>
      <c r="AB56" s="136"/>
      <c r="AC56" s="135">
        <v>14</v>
      </c>
      <c r="AD56" s="135">
        <v>9</v>
      </c>
      <c r="AE56" s="50">
        <v>9</v>
      </c>
      <c r="AF56" s="51" t="s">
        <v>429</v>
      </c>
      <c r="AG56" s="57"/>
      <c r="AH56">
        <f t="shared" si="0"/>
        <v>-5</v>
      </c>
    </row>
    <row r="57" spans="1:34" s="84" customFormat="1" ht="30" customHeight="1" x14ac:dyDescent="0.3">
      <c r="A57" s="8"/>
      <c r="B57" s="4"/>
      <c r="C57" s="6"/>
      <c r="D57" s="6"/>
      <c r="E57" s="6"/>
      <c r="F57" s="59"/>
      <c r="G57"/>
      <c r="H57" s="113"/>
      <c r="I57" s="158"/>
      <c r="L57" s="8"/>
      <c r="M57" s="1"/>
      <c r="N57" s="8"/>
      <c r="O57" s="8"/>
      <c r="P57" s="8"/>
      <c r="Q57" s="59"/>
      <c r="R57"/>
      <c r="S57" s="158"/>
      <c r="T57" s="158"/>
      <c r="U57" s="158"/>
      <c r="W57" s="8"/>
      <c r="X57" s="1"/>
      <c r="Y57" s="8"/>
      <c r="Z57" s="8"/>
      <c r="AA57" s="8"/>
      <c r="AB57" s="136"/>
      <c r="AC57" s="59"/>
      <c r="AD57" s="135"/>
      <c r="AE57" s="50"/>
      <c r="AF57" s="73"/>
      <c r="AG57" s="21"/>
      <c r="AH57">
        <f t="shared" si="0"/>
        <v>0</v>
      </c>
    </row>
    <row r="58" spans="1:34" ht="30" customHeight="1" x14ac:dyDescent="0.3">
      <c r="A58" s="211" t="s">
        <v>346</v>
      </c>
      <c r="B58" s="89" t="s">
        <v>247</v>
      </c>
      <c r="C58" s="215"/>
      <c r="D58" s="215"/>
      <c r="E58" s="215"/>
      <c r="F58" s="223"/>
      <c r="H58" s="113"/>
      <c r="I58" s="113"/>
      <c r="L58" s="211" t="s">
        <v>346</v>
      </c>
      <c r="M58" s="212" t="s">
        <v>247</v>
      </c>
      <c r="N58" s="309"/>
      <c r="O58" s="309"/>
      <c r="P58" s="309"/>
      <c r="Q58" s="223"/>
      <c r="W58" s="211" t="s">
        <v>346</v>
      </c>
      <c r="X58" s="89" t="s">
        <v>247</v>
      </c>
      <c r="Y58" s="215"/>
      <c r="Z58" s="215"/>
      <c r="AA58" s="215"/>
      <c r="AB58" s="136"/>
      <c r="AC58" s="223"/>
      <c r="AD58" s="223"/>
      <c r="AE58" s="50"/>
      <c r="AF58" s="73"/>
      <c r="AG58" s="21"/>
      <c r="AH58">
        <f t="shared" si="0"/>
        <v>0</v>
      </c>
    </row>
    <row r="59" spans="1:34" ht="30" customHeight="1" x14ac:dyDescent="0.3">
      <c r="A59" s="156" t="s">
        <v>68</v>
      </c>
      <c r="B59" s="358" t="s">
        <v>693</v>
      </c>
      <c r="C59" s="205" t="s">
        <v>476</v>
      </c>
      <c r="D59" s="205"/>
      <c r="E59" s="205"/>
      <c r="F59" s="135"/>
      <c r="H59" s="113"/>
      <c r="I59" s="113"/>
      <c r="L59" s="211" t="s">
        <v>68</v>
      </c>
      <c r="M59" s="310" t="s">
        <v>433</v>
      </c>
      <c r="N59" s="213" t="s">
        <v>527</v>
      </c>
      <c r="O59" s="213" t="s">
        <v>477</v>
      </c>
      <c r="P59" s="213" t="s">
        <v>480</v>
      </c>
      <c r="Q59" s="135">
        <v>4</v>
      </c>
      <c r="W59" s="211" t="s">
        <v>68</v>
      </c>
      <c r="X59" s="1" t="s">
        <v>334</v>
      </c>
      <c r="Y59" s="205" t="s">
        <v>375</v>
      </c>
      <c r="Z59" s="205" t="s">
        <v>402</v>
      </c>
      <c r="AA59" s="205" t="s">
        <v>403</v>
      </c>
      <c r="AB59" s="136"/>
      <c r="AC59" s="135">
        <v>4</v>
      </c>
      <c r="AD59" s="135">
        <v>4</v>
      </c>
      <c r="AE59" s="50">
        <v>4</v>
      </c>
      <c r="AF59" s="51">
        <v>2</v>
      </c>
      <c r="AG59" s="57"/>
      <c r="AH59">
        <f t="shared" si="0"/>
        <v>0</v>
      </c>
    </row>
    <row r="60" spans="1:34" ht="30" customHeight="1" x14ac:dyDescent="0.3">
      <c r="A60" s="156" t="s">
        <v>69</v>
      </c>
      <c r="B60" s="358" t="s">
        <v>452</v>
      </c>
      <c r="C60" s="205" t="s">
        <v>476</v>
      </c>
      <c r="D60" s="205"/>
      <c r="E60" s="205"/>
      <c r="F60" s="135"/>
      <c r="H60" s="113"/>
      <c r="I60" s="113"/>
      <c r="L60" s="211" t="s">
        <v>69</v>
      </c>
      <c r="M60" s="310" t="s">
        <v>452</v>
      </c>
      <c r="N60" s="213" t="s">
        <v>481</v>
      </c>
      <c r="O60" s="213" t="s">
        <v>477</v>
      </c>
      <c r="P60" s="213" t="s">
        <v>480</v>
      </c>
      <c r="Q60" s="135">
        <v>3</v>
      </c>
      <c r="W60" s="211" t="s">
        <v>69</v>
      </c>
      <c r="X60" s="95" t="s">
        <v>70</v>
      </c>
      <c r="Y60" s="205" t="s">
        <v>375</v>
      </c>
      <c r="Z60" s="205" t="s">
        <v>402</v>
      </c>
      <c r="AA60" s="205" t="s">
        <v>404</v>
      </c>
      <c r="AB60" s="136"/>
      <c r="AC60" s="135">
        <v>3</v>
      </c>
      <c r="AD60" s="135">
        <v>4</v>
      </c>
      <c r="AE60" s="50">
        <v>3</v>
      </c>
      <c r="AF60" s="51">
        <v>2</v>
      </c>
      <c r="AG60" s="57"/>
      <c r="AH60">
        <f t="shared" si="0"/>
        <v>1</v>
      </c>
    </row>
    <row r="61" spans="1:34" ht="30" customHeight="1" x14ac:dyDescent="0.3">
      <c r="A61" s="156" t="s">
        <v>71</v>
      </c>
      <c r="B61" s="358" t="s">
        <v>694</v>
      </c>
      <c r="C61" s="205" t="s">
        <v>476</v>
      </c>
      <c r="D61" s="205"/>
      <c r="E61" s="205"/>
      <c r="F61" s="135"/>
      <c r="H61" s="113"/>
      <c r="I61" s="113"/>
      <c r="L61" s="211" t="s">
        <v>71</v>
      </c>
      <c r="M61" s="310" t="s">
        <v>434</v>
      </c>
      <c r="N61" s="213" t="s">
        <v>479</v>
      </c>
      <c r="O61" s="213" t="s">
        <v>540</v>
      </c>
      <c r="P61" s="213" t="s">
        <v>483</v>
      </c>
      <c r="Q61" s="135">
        <v>4</v>
      </c>
      <c r="W61" s="211" t="s">
        <v>71</v>
      </c>
      <c r="X61" s="101" t="s">
        <v>355</v>
      </c>
      <c r="Y61" s="205" t="s">
        <v>397</v>
      </c>
      <c r="Z61" s="205" t="s">
        <v>376</v>
      </c>
      <c r="AA61" s="205" t="s">
        <v>405</v>
      </c>
      <c r="AB61" s="136"/>
      <c r="AC61" s="135">
        <v>4</v>
      </c>
      <c r="AD61" s="135">
        <v>3</v>
      </c>
      <c r="AE61" s="50">
        <v>3</v>
      </c>
      <c r="AF61" s="51">
        <v>3</v>
      </c>
      <c r="AG61" s="57"/>
      <c r="AH61">
        <f t="shared" si="0"/>
        <v>-1</v>
      </c>
    </row>
    <row r="62" spans="1:34" s="84" customFormat="1" ht="30" customHeight="1" x14ac:dyDescent="0.3">
      <c r="A62" s="8"/>
      <c r="B62" s="4"/>
      <c r="C62" s="6"/>
      <c r="D62" s="6"/>
      <c r="E62" s="6"/>
      <c r="F62" s="59"/>
      <c r="G62"/>
      <c r="H62" s="113"/>
      <c r="I62" s="158"/>
      <c r="L62" s="8"/>
      <c r="M62" s="1"/>
      <c r="N62" s="8"/>
      <c r="O62" s="8"/>
      <c r="P62" s="8"/>
      <c r="Q62" s="59"/>
      <c r="R62"/>
      <c r="S62" s="158"/>
      <c r="T62" s="158"/>
      <c r="U62" s="158"/>
      <c r="W62" s="8"/>
      <c r="X62" s="1"/>
      <c r="Y62" s="8"/>
      <c r="Z62" s="8"/>
      <c r="AA62" s="8"/>
      <c r="AB62" s="136"/>
      <c r="AC62" s="59"/>
      <c r="AD62" s="135"/>
      <c r="AE62" s="50"/>
      <c r="AF62" s="73"/>
      <c r="AG62" s="21"/>
      <c r="AH62">
        <f t="shared" si="0"/>
        <v>0</v>
      </c>
    </row>
    <row r="63" spans="1:34" ht="30" customHeight="1" x14ac:dyDescent="0.3">
      <c r="A63" s="211" t="s">
        <v>347</v>
      </c>
      <c r="B63" s="96" t="s">
        <v>248</v>
      </c>
      <c r="C63" s="215"/>
      <c r="D63" s="215"/>
      <c r="E63" s="215"/>
      <c r="F63" s="223"/>
      <c r="H63" s="113"/>
      <c r="I63" s="113"/>
      <c r="L63" s="211" t="s">
        <v>347</v>
      </c>
      <c r="M63" s="311" t="s">
        <v>248</v>
      </c>
      <c r="N63" s="309"/>
      <c r="O63" s="309"/>
      <c r="P63" s="309"/>
      <c r="Q63" s="223"/>
      <c r="W63" s="211" t="s">
        <v>347</v>
      </c>
      <c r="X63" s="96" t="s">
        <v>248</v>
      </c>
      <c r="Y63" s="215"/>
      <c r="Z63" s="215"/>
      <c r="AA63" s="215"/>
      <c r="AB63" s="136"/>
      <c r="AC63" s="223"/>
      <c r="AD63" s="223"/>
      <c r="AE63" s="50"/>
      <c r="AF63" s="73"/>
      <c r="AG63" s="21"/>
      <c r="AH63">
        <f t="shared" si="0"/>
        <v>0</v>
      </c>
    </row>
    <row r="64" spans="1:34" ht="30" customHeight="1" x14ac:dyDescent="0.3">
      <c r="A64" s="211" t="s">
        <v>72</v>
      </c>
      <c r="B64" s="90" t="s">
        <v>73</v>
      </c>
      <c r="C64" s="205" t="s">
        <v>465</v>
      </c>
      <c r="D64" s="205" t="s">
        <v>473</v>
      </c>
      <c r="E64" s="205"/>
      <c r="F64" s="135">
        <v>2</v>
      </c>
      <c r="H64" s="113"/>
      <c r="I64" s="113"/>
      <c r="L64" s="211" t="s">
        <v>72</v>
      </c>
      <c r="M64" s="301" t="s">
        <v>73</v>
      </c>
      <c r="N64" s="213" t="s">
        <v>475</v>
      </c>
      <c r="O64" s="213" t="s">
        <v>477</v>
      </c>
      <c r="P64" s="213" t="s">
        <v>470</v>
      </c>
      <c r="Q64" s="135">
        <v>3</v>
      </c>
      <c r="W64" s="211" t="s">
        <v>72</v>
      </c>
      <c r="X64" s="90" t="s">
        <v>73</v>
      </c>
      <c r="Y64" s="205" t="s">
        <v>406</v>
      </c>
      <c r="Z64" s="205" t="s">
        <v>368</v>
      </c>
      <c r="AA64" s="205" t="s">
        <v>391</v>
      </c>
      <c r="AB64" s="136"/>
      <c r="AC64" s="135">
        <v>3</v>
      </c>
      <c r="AD64" s="135">
        <v>3</v>
      </c>
      <c r="AE64" s="50">
        <v>4</v>
      </c>
      <c r="AF64" s="51">
        <v>2</v>
      </c>
      <c r="AG64" s="57"/>
      <c r="AH64">
        <f t="shared" si="0"/>
        <v>0</v>
      </c>
    </row>
    <row r="65" spans="1:34" s="84" customFormat="1" ht="30" customHeight="1" x14ac:dyDescent="0.3">
      <c r="A65" s="8"/>
      <c r="B65" s="4"/>
      <c r="C65" s="6"/>
      <c r="D65" s="6"/>
      <c r="E65" s="6"/>
      <c r="F65" s="59"/>
      <c r="G65"/>
      <c r="H65" s="113"/>
      <c r="I65" s="158"/>
      <c r="L65" s="8"/>
      <c r="M65" s="1"/>
      <c r="N65" s="8"/>
      <c r="O65" s="8"/>
      <c r="P65" s="8"/>
      <c r="Q65" s="59"/>
      <c r="R65"/>
      <c r="S65" s="158"/>
      <c r="T65" s="158"/>
      <c r="U65" s="158"/>
      <c r="W65" s="8"/>
      <c r="X65" s="1"/>
      <c r="Y65" s="8"/>
      <c r="Z65" s="8"/>
      <c r="AA65" s="8"/>
      <c r="AB65" s="136"/>
      <c r="AC65" s="59"/>
      <c r="AD65" s="135"/>
      <c r="AE65" s="50"/>
      <c r="AF65" s="73"/>
      <c r="AG65" s="21"/>
      <c r="AH65">
        <f t="shared" si="0"/>
        <v>0</v>
      </c>
    </row>
    <row r="66" spans="1:34" ht="30" customHeight="1" x14ac:dyDescent="0.3">
      <c r="A66" s="211" t="s">
        <v>348</v>
      </c>
      <c r="B66" s="89" t="s">
        <v>249</v>
      </c>
      <c r="C66" s="215"/>
      <c r="D66" s="215"/>
      <c r="E66" s="215"/>
      <c r="F66" s="223"/>
      <c r="H66" s="113"/>
      <c r="I66" s="113"/>
      <c r="L66" s="211" t="s">
        <v>348</v>
      </c>
      <c r="M66" s="212" t="s">
        <v>249</v>
      </c>
      <c r="N66" s="309"/>
      <c r="O66" s="309"/>
      <c r="P66" s="309"/>
      <c r="Q66" s="223"/>
      <c r="W66" s="211" t="s">
        <v>348</v>
      </c>
      <c r="X66" s="89" t="s">
        <v>249</v>
      </c>
      <c r="Y66" s="215"/>
      <c r="Z66" s="215"/>
      <c r="AA66" s="215"/>
      <c r="AB66" s="136"/>
      <c r="AC66" s="223"/>
      <c r="AD66" s="223"/>
      <c r="AE66" s="50"/>
      <c r="AF66" s="73"/>
      <c r="AG66" s="21"/>
      <c r="AH66">
        <f t="shared" si="0"/>
        <v>0</v>
      </c>
    </row>
    <row r="67" spans="1:34" ht="30" customHeight="1" x14ac:dyDescent="0.3">
      <c r="A67" s="211" t="s">
        <v>74</v>
      </c>
      <c r="B67" s="90" t="s">
        <v>75</v>
      </c>
      <c r="C67" s="205" t="s">
        <v>475</v>
      </c>
      <c r="D67" s="205" t="s">
        <v>473</v>
      </c>
      <c r="E67" s="205"/>
      <c r="F67" s="135">
        <v>2</v>
      </c>
      <c r="H67" s="113"/>
      <c r="I67" s="113"/>
      <c r="L67" s="211" t="s">
        <v>74</v>
      </c>
      <c r="M67" s="301" t="s">
        <v>75</v>
      </c>
      <c r="N67" s="213" t="s">
        <v>478</v>
      </c>
      <c r="O67" s="213" t="s">
        <v>473</v>
      </c>
      <c r="P67" s="213" t="s">
        <v>484</v>
      </c>
      <c r="Q67" s="135">
        <v>7</v>
      </c>
      <c r="W67" s="211" t="s">
        <v>74</v>
      </c>
      <c r="X67" s="90" t="s">
        <v>75</v>
      </c>
      <c r="Y67" s="205" t="s">
        <v>407</v>
      </c>
      <c r="Z67" s="205" t="s">
        <v>368</v>
      </c>
      <c r="AA67" s="205" t="s">
        <v>405</v>
      </c>
      <c r="AB67" s="136"/>
      <c r="AC67" s="135">
        <v>7</v>
      </c>
      <c r="AD67" s="135">
        <v>4</v>
      </c>
      <c r="AE67" s="50">
        <v>3</v>
      </c>
      <c r="AF67" s="51" t="s">
        <v>429</v>
      </c>
      <c r="AG67" s="57"/>
      <c r="AH67">
        <f t="shared" si="0"/>
        <v>-3</v>
      </c>
    </row>
    <row r="68" spans="1:34" ht="30" customHeight="1" x14ac:dyDescent="0.3">
      <c r="A68" s="211" t="s">
        <v>76</v>
      </c>
      <c r="B68" s="136" t="s">
        <v>77</v>
      </c>
      <c r="C68" s="205" t="s">
        <v>481</v>
      </c>
      <c r="D68" s="205" t="s">
        <v>473</v>
      </c>
      <c r="E68" s="205" t="s">
        <v>484</v>
      </c>
      <c r="F68" s="135">
        <v>3</v>
      </c>
      <c r="H68" s="158"/>
      <c r="I68" s="113"/>
      <c r="L68" s="211" t="s">
        <v>76</v>
      </c>
      <c r="M68" s="299" t="s">
        <v>77</v>
      </c>
      <c r="N68" s="213" t="s">
        <v>481</v>
      </c>
      <c r="O68" s="213" t="s">
        <v>473</v>
      </c>
      <c r="P68" s="213" t="s">
        <v>484</v>
      </c>
      <c r="Q68" s="135">
        <v>7</v>
      </c>
      <c r="W68" s="211" t="s">
        <v>76</v>
      </c>
      <c r="X68" s="136" t="s">
        <v>77</v>
      </c>
      <c r="Y68" s="205" t="s">
        <v>373</v>
      </c>
      <c r="Z68" s="205" t="s">
        <v>402</v>
      </c>
      <c r="AA68" s="205" t="s">
        <v>408</v>
      </c>
      <c r="AB68" s="136"/>
      <c r="AC68" s="135">
        <v>7</v>
      </c>
      <c r="AD68" s="135">
        <v>4</v>
      </c>
      <c r="AE68" s="50">
        <v>8</v>
      </c>
      <c r="AF68" s="51" t="s">
        <v>429</v>
      </c>
      <c r="AG68" s="57"/>
      <c r="AH68">
        <f t="shared" ref="AH68:AH124" si="1">(AD68-AC68)</f>
        <v>-3</v>
      </c>
    </row>
    <row r="69" spans="1:34" s="84" customFormat="1" ht="30" customHeight="1" x14ac:dyDescent="0.3">
      <c r="A69" s="8"/>
      <c r="B69" s="4"/>
      <c r="C69" s="6"/>
      <c r="D69" s="6"/>
      <c r="E69" s="6"/>
      <c r="F69" s="59"/>
      <c r="G69"/>
      <c r="H69" s="113"/>
      <c r="I69" s="158"/>
      <c r="L69" s="8"/>
      <c r="M69" s="1"/>
      <c r="N69" s="8"/>
      <c r="O69" s="8"/>
      <c r="P69" s="8"/>
      <c r="Q69" s="59"/>
      <c r="R69"/>
      <c r="S69" s="158"/>
      <c r="T69" s="158"/>
      <c r="U69" s="158"/>
      <c r="W69" s="8"/>
      <c r="X69" s="1"/>
      <c r="Y69" s="8"/>
      <c r="Z69" s="8"/>
      <c r="AA69" s="8"/>
      <c r="AB69" s="136"/>
      <c r="AC69" s="59"/>
      <c r="AD69" s="135"/>
      <c r="AE69" s="50"/>
      <c r="AF69" s="51"/>
      <c r="AG69" s="234"/>
      <c r="AH69">
        <f t="shared" si="1"/>
        <v>0</v>
      </c>
    </row>
    <row r="70" spans="1:34" ht="30" customHeight="1" x14ac:dyDescent="0.3">
      <c r="A70" s="211" t="s">
        <v>349</v>
      </c>
      <c r="B70" s="97" t="s">
        <v>250</v>
      </c>
      <c r="C70" s="216"/>
      <c r="D70" s="216"/>
      <c r="E70" s="216"/>
      <c r="F70" s="223"/>
      <c r="H70" s="113"/>
      <c r="I70" s="113"/>
      <c r="L70" s="211" t="s">
        <v>349</v>
      </c>
      <c r="M70" s="312" t="s">
        <v>250</v>
      </c>
      <c r="N70" s="313"/>
      <c r="O70" s="313"/>
      <c r="P70" s="313"/>
      <c r="Q70" s="223"/>
      <c r="W70" s="211" t="s">
        <v>349</v>
      </c>
      <c r="X70" s="97" t="s">
        <v>250</v>
      </c>
      <c r="Y70" s="216"/>
      <c r="Z70" s="216"/>
      <c r="AA70" s="216"/>
      <c r="AB70" s="136"/>
      <c r="AC70" s="223"/>
      <c r="AD70" s="223"/>
      <c r="AE70" s="50"/>
      <c r="AF70" s="51"/>
      <c r="AG70" s="234"/>
      <c r="AH70">
        <f t="shared" si="1"/>
        <v>0</v>
      </c>
    </row>
    <row r="71" spans="1:34" ht="30" customHeight="1" x14ac:dyDescent="0.3">
      <c r="A71" s="156" t="s">
        <v>78</v>
      </c>
      <c r="B71" s="136" t="s">
        <v>79</v>
      </c>
      <c r="C71" s="205" t="s">
        <v>857</v>
      </c>
      <c r="D71" s="205" t="s">
        <v>473</v>
      </c>
      <c r="E71" s="205" t="s">
        <v>474</v>
      </c>
      <c r="F71" s="135">
        <v>8</v>
      </c>
      <c r="H71" s="113"/>
      <c r="I71" s="113"/>
      <c r="L71" s="211" t="s">
        <v>78</v>
      </c>
      <c r="M71" s="301" t="s">
        <v>79</v>
      </c>
      <c r="N71" s="213" t="s">
        <v>475</v>
      </c>
      <c r="O71" s="213" t="s">
        <v>528</v>
      </c>
      <c r="P71" s="213" t="s">
        <v>483</v>
      </c>
      <c r="Q71" s="135">
        <v>11</v>
      </c>
      <c r="W71" s="211" t="s">
        <v>78</v>
      </c>
      <c r="X71" s="90" t="s">
        <v>79</v>
      </c>
      <c r="Y71" s="205" t="s">
        <v>406</v>
      </c>
      <c r="Z71" s="205" t="s">
        <v>368</v>
      </c>
      <c r="AA71" s="205" t="s">
        <v>372</v>
      </c>
      <c r="AB71" s="136"/>
      <c r="AC71" s="135">
        <v>11</v>
      </c>
      <c r="AD71" s="135">
        <v>7</v>
      </c>
      <c r="AE71" s="50">
        <v>7</v>
      </c>
      <c r="AF71" s="51">
        <v>7</v>
      </c>
      <c r="AG71" s="234"/>
      <c r="AH71">
        <f t="shared" si="1"/>
        <v>-4</v>
      </c>
    </row>
    <row r="72" spans="1:34" ht="30" customHeight="1" x14ac:dyDescent="0.3">
      <c r="A72" s="156" t="s">
        <v>80</v>
      </c>
      <c r="B72" s="136" t="s">
        <v>81</v>
      </c>
      <c r="C72" s="205" t="s">
        <v>476</v>
      </c>
      <c r="D72" s="205" t="s">
        <v>473</v>
      </c>
      <c r="E72" s="205" t="s">
        <v>488</v>
      </c>
      <c r="F72" s="135">
        <v>5</v>
      </c>
      <c r="H72" s="113"/>
      <c r="I72" s="113"/>
      <c r="L72" s="211" t="s">
        <v>80</v>
      </c>
      <c r="M72" s="301" t="s">
        <v>81</v>
      </c>
      <c r="N72" s="213" t="s">
        <v>469</v>
      </c>
      <c r="O72" s="213" t="s">
        <v>473</v>
      </c>
      <c r="P72" s="213"/>
      <c r="Q72" s="135">
        <v>2</v>
      </c>
      <c r="W72" s="211" t="s">
        <v>80</v>
      </c>
      <c r="X72" s="90" t="s">
        <v>81</v>
      </c>
      <c r="Y72" s="205" t="s">
        <v>396</v>
      </c>
      <c r="Z72" s="205" t="s">
        <v>368</v>
      </c>
      <c r="AA72" s="205"/>
      <c r="AB72" s="136"/>
      <c r="AC72" s="135">
        <v>2</v>
      </c>
      <c r="AD72" s="135">
        <v>2</v>
      </c>
      <c r="AE72" s="50">
        <v>3</v>
      </c>
      <c r="AF72" s="51">
        <v>0</v>
      </c>
      <c r="AG72" s="234"/>
      <c r="AH72">
        <f t="shared" si="1"/>
        <v>0</v>
      </c>
    </row>
    <row r="73" spans="1:34" ht="30" customHeight="1" x14ac:dyDescent="0.3">
      <c r="A73" s="156" t="s">
        <v>82</v>
      </c>
      <c r="B73" s="136" t="s">
        <v>83</v>
      </c>
      <c r="C73" s="205" t="s">
        <v>475</v>
      </c>
      <c r="D73" s="205" t="s">
        <v>463</v>
      </c>
      <c r="E73" s="205" t="s">
        <v>464</v>
      </c>
      <c r="F73" s="135">
        <v>5</v>
      </c>
      <c r="H73" s="113"/>
      <c r="I73" s="113"/>
      <c r="L73" s="211" t="s">
        <v>82</v>
      </c>
      <c r="M73" s="301" t="s">
        <v>83</v>
      </c>
      <c r="N73" s="213" t="s">
        <v>475</v>
      </c>
      <c r="O73" s="213" t="s">
        <v>460</v>
      </c>
      <c r="P73" s="213" t="s">
        <v>474</v>
      </c>
      <c r="Q73" s="135">
        <v>5</v>
      </c>
      <c r="W73" s="211" t="s">
        <v>82</v>
      </c>
      <c r="X73" s="90" t="s">
        <v>83</v>
      </c>
      <c r="Y73" s="205" t="s">
        <v>396</v>
      </c>
      <c r="Z73" s="205" t="s">
        <v>409</v>
      </c>
      <c r="AA73" s="205" t="s">
        <v>363</v>
      </c>
      <c r="AB73" s="136"/>
      <c r="AC73" s="135">
        <v>5</v>
      </c>
      <c r="AD73" s="135">
        <v>3</v>
      </c>
      <c r="AE73" s="50">
        <v>6</v>
      </c>
      <c r="AF73" s="51">
        <v>3</v>
      </c>
      <c r="AG73" s="234"/>
      <c r="AH73">
        <f t="shared" si="1"/>
        <v>-2</v>
      </c>
    </row>
    <row r="74" spans="1:34" ht="30" customHeight="1" x14ac:dyDescent="0.3">
      <c r="A74" s="156" t="s">
        <v>84</v>
      </c>
      <c r="B74" s="136" t="s">
        <v>85</v>
      </c>
      <c r="C74" s="205" t="s">
        <v>468</v>
      </c>
      <c r="D74" s="205" t="s">
        <v>477</v>
      </c>
      <c r="E74" s="205" t="s">
        <v>482</v>
      </c>
      <c r="F74" s="135">
        <v>5</v>
      </c>
      <c r="H74" s="113"/>
      <c r="I74" s="113"/>
      <c r="L74" s="211" t="s">
        <v>84</v>
      </c>
      <c r="M74" s="301" t="s">
        <v>85</v>
      </c>
      <c r="N74" s="213" t="s">
        <v>476</v>
      </c>
      <c r="O74" s="213" t="s">
        <v>486</v>
      </c>
      <c r="P74" s="213" t="s">
        <v>470</v>
      </c>
      <c r="Q74" s="135">
        <v>5</v>
      </c>
      <c r="W74" s="211" t="s">
        <v>84</v>
      </c>
      <c r="X74" s="90" t="s">
        <v>85</v>
      </c>
      <c r="Y74" s="205" t="s">
        <v>373</v>
      </c>
      <c r="Z74" s="205" t="s">
        <v>409</v>
      </c>
      <c r="AA74" s="205" t="s">
        <v>399</v>
      </c>
      <c r="AB74" s="136"/>
      <c r="AC74" s="135">
        <v>5</v>
      </c>
      <c r="AD74" s="135">
        <v>7</v>
      </c>
      <c r="AE74" s="50">
        <v>6</v>
      </c>
      <c r="AF74" s="51">
        <v>3</v>
      </c>
      <c r="AG74" s="234"/>
      <c r="AH74">
        <f t="shared" si="1"/>
        <v>2</v>
      </c>
    </row>
    <row r="75" spans="1:34" ht="30" customHeight="1" x14ac:dyDescent="0.3">
      <c r="A75" s="156" t="s">
        <v>86</v>
      </c>
      <c r="B75" s="136" t="s">
        <v>87</v>
      </c>
      <c r="C75" s="205" t="s">
        <v>475</v>
      </c>
      <c r="D75" s="205" t="s">
        <v>486</v>
      </c>
      <c r="E75" s="205" t="s">
        <v>474</v>
      </c>
      <c r="F75" s="135">
        <v>6</v>
      </c>
      <c r="H75" s="113"/>
      <c r="I75" s="113"/>
      <c r="L75" s="211" t="s">
        <v>86</v>
      </c>
      <c r="M75" s="301" t="s">
        <v>87</v>
      </c>
      <c r="N75" s="213" t="s">
        <v>468</v>
      </c>
      <c r="O75" s="213" t="s">
        <v>463</v>
      </c>
      <c r="P75" s="213" t="s">
        <v>485</v>
      </c>
      <c r="Q75" s="135">
        <v>9</v>
      </c>
      <c r="W75" s="211" t="s">
        <v>86</v>
      </c>
      <c r="X75" s="90" t="s">
        <v>87</v>
      </c>
      <c r="Y75" s="205" t="s">
        <v>393</v>
      </c>
      <c r="Z75" s="205" t="s">
        <v>410</v>
      </c>
      <c r="AA75" s="205" t="s">
        <v>403</v>
      </c>
      <c r="AB75" s="136"/>
      <c r="AC75" s="135">
        <v>9</v>
      </c>
      <c r="AD75" s="135">
        <v>4</v>
      </c>
      <c r="AE75" s="50">
        <v>6</v>
      </c>
      <c r="AF75" s="51">
        <v>6</v>
      </c>
      <c r="AG75" s="234"/>
      <c r="AH75">
        <f t="shared" si="1"/>
        <v>-5</v>
      </c>
    </row>
    <row r="76" spans="1:34" ht="30" customHeight="1" x14ac:dyDescent="0.3">
      <c r="A76" s="156" t="s">
        <v>88</v>
      </c>
      <c r="B76" s="136" t="s">
        <v>89</v>
      </c>
      <c r="C76" s="205" t="s">
        <v>475</v>
      </c>
      <c r="D76" s="205"/>
      <c r="E76" s="205"/>
      <c r="F76" s="135">
        <v>1</v>
      </c>
      <c r="H76" s="113"/>
      <c r="I76" s="113"/>
      <c r="L76" s="211" t="s">
        <v>88</v>
      </c>
      <c r="M76" s="301" t="s">
        <v>89</v>
      </c>
      <c r="N76" s="213" t="s">
        <v>487</v>
      </c>
      <c r="O76" s="213" t="s">
        <v>529</v>
      </c>
      <c r="P76" s="213"/>
      <c r="Q76" s="135">
        <v>2</v>
      </c>
      <c r="W76" s="211" t="s">
        <v>88</v>
      </c>
      <c r="X76" s="90" t="s">
        <v>89</v>
      </c>
      <c r="Y76" s="205" t="s">
        <v>373</v>
      </c>
      <c r="Z76" s="205" t="s">
        <v>384</v>
      </c>
      <c r="AA76" s="205" t="s">
        <v>398</v>
      </c>
      <c r="AB76" s="136"/>
      <c r="AC76" s="135">
        <v>2</v>
      </c>
      <c r="AD76" s="135">
        <v>3</v>
      </c>
      <c r="AE76" s="50">
        <v>2</v>
      </c>
      <c r="AF76" s="51">
        <v>1</v>
      </c>
      <c r="AG76" s="234"/>
      <c r="AH76">
        <f t="shared" si="1"/>
        <v>1</v>
      </c>
    </row>
    <row r="77" spans="1:34" ht="30" customHeight="1" x14ac:dyDescent="0.3">
      <c r="A77" s="156" t="s">
        <v>90</v>
      </c>
      <c r="B77" s="136" t="s">
        <v>91</v>
      </c>
      <c r="C77" s="205" t="s">
        <v>465</v>
      </c>
      <c r="D77" s="205" t="s">
        <v>486</v>
      </c>
      <c r="E77" s="205" t="s">
        <v>482</v>
      </c>
      <c r="F77" s="135">
        <v>5</v>
      </c>
      <c r="H77" s="113"/>
      <c r="I77" s="113"/>
      <c r="L77" s="211" t="s">
        <v>90</v>
      </c>
      <c r="M77" s="301" t="s">
        <v>91</v>
      </c>
      <c r="N77" s="213" t="s">
        <v>465</v>
      </c>
      <c r="O77" s="213" t="s">
        <v>529</v>
      </c>
      <c r="P77" s="213" t="s">
        <v>464</v>
      </c>
      <c r="Q77" s="135">
        <v>6</v>
      </c>
      <c r="W77" s="211" t="s">
        <v>90</v>
      </c>
      <c r="X77" s="90" t="s">
        <v>91</v>
      </c>
      <c r="Y77" s="205" t="s">
        <v>411</v>
      </c>
      <c r="Z77" s="205" t="s">
        <v>409</v>
      </c>
      <c r="AA77" s="205" t="s">
        <v>398</v>
      </c>
      <c r="AB77" s="136"/>
      <c r="AC77" s="135">
        <v>6</v>
      </c>
      <c r="AD77" s="135">
        <v>9</v>
      </c>
      <c r="AE77" s="50">
        <v>9</v>
      </c>
      <c r="AF77" s="51">
        <v>5</v>
      </c>
      <c r="AG77" s="234"/>
      <c r="AH77">
        <f t="shared" si="1"/>
        <v>3</v>
      </c>
    </row>
    <row r="78" spans="1:34" ht="30" customHeight="1" x14ac:dyDescent="0.3">
      <c r="A78" s="156" t="s">
        <v>92</v>
      </c>
      <c r="B78" s="136" t="s">
        <v>93</v>
      </c>
      <c r="C78" s="205" t="s">
        <v>475</v>
      </c>
      <c r="D78" s="205" t="s">
        <v>948</v>
      </c>
      <c r="E78" s="205" t="s">
        <v>482</v>
      </c>
      <c r="F78" s="135">
        <v>5</v>
      </c>
      <c r="H78" s="113"/>
      <c r="I78" s="113"/>
      <c r="L78" s="211" t="s">
        <v>92</v>
      </c>
      <c r="M78" s="301" t="s">
        <v>93</v>
      </c>
      <c r="N78" s="213" t="s">
        <v>469</v>
      </c>
      <c r="O78" s="213" t="s">
        <v>473</v>
      </c>
      <c r="P78" s="213" t="s">
        <v>483</v>
      </c>
      <c r="Q78" s="135">
        <v>4</v>
      </c>
      <c r="W78" s="211" t="s">
        <v>92</v>
      </c>
      <c r="X78" s="90" t="s">
        <v>93</v>
      </c>
      <c r="Y78" s="205" t="s">
        <v>393</v>
      </c>
      <c r="Z78" s="205" t="s">
        <v>389</v>
      </c>
      <c r="AA78" s="205" t="s">
        <v>412</v>
      </c>
      <c r="AB78" s="136"/>
      <c r="AC78" s="135">
        <v>4</v>
      </c>
      <c r="AD78" s="135">
        <v>4</v>
      </c>
      <c r="AE78" s="50">
        <v>4</v>
      </c>
      <c r="AF78" s="51">
        <v>3</v>
      </c>
      <c r="AG78" s="234"/>
      <c r="AH78">
        <f t="shared" si="1"/>
        <v>0</v>
      </c>
    </row>
    <row r="79" spans="1:34" ht="30" customHeight="1" x14ac:dyDescent="0.3">
      <c r="A79" s="156" t="s">
        <v>94</v>
      </c>
      <c r="B79" s="136" t="s">
        <v>335</v>
      </c>
      <c r="C79" s="205" t="s">
        <v>489</v>
      </c>
      <c r="D79" s="205" t="s">
        <v>920</v>
      </c>
      <c r="E79" s="205" t="s">
        <v>921</v>
      </c>
      <c r="F79" s="135">
        <v>16</v>
      </c>
      <c r="H79" s="113"/>
      <c r="I79" s="113"/>
      <c r="L79" s="211" t="s">
        <v>94</v>
      </c>
      <c r="M79" s="301" t="s">
        <v>131</v>
      </c>
      <c r="N79" s="213" t="s">
        <v>469</v>
      </c>
      <c r="O79" s="213" t="s">
        <v>546</v>
      </c>
      <c r="P79" s="213" t="s">
        <v>490</v>
      </c>
      <c r="Q79" s="135">
        <v>13</v>
      </c>
      <c r="W79" s="211" t="s">
        <v>94</v>
      </c>
      <c r="X79" s="90" t="s">
        <v>131</v>
      </c>
      <c r="Y79" s="205" t="s">
        <v>413</v>
      </c>
      <c r="Z79" s="205" t="s">
        <v>384</v>
      </c>
      <c r="AA79" s="205" t="s">
        <v>366</v>
      </c>
      <c r="AB79" s="136"/>
      <c r="AC79" s="135">
        <v>13</v>
      </c>
      <c r="AD79" s="135"/>
      <c r="AE79" s="50">
        <v>1</v>
      </c>
      <c r="AF79" s="51">
        <v>1</v>
      </c>
      <c r="AG79" s="234"/>
      <c r="AH79">
        <f t="shared" si="1"/>
        <v>-13</v>
      </c>
    </row>
    <row r="80" spans="1:34" ht="30" customHeight="1" x14ac:dyDescent="0.3">
      <c r="A80" s="156" t="s">
        <v>95</v>
      </c>
      <c r="B80" s="136" t="s">
        <v>97</v>
      </c>
      <c r="C80" s="205" t="s">
        <v>489</v>
      </c>
      <c r="D80" s="205" t="s">
        <v>852</v>
      </c>
      <c r="E80" s="205" t="s">
        <v>493</v>
      </c>
      <c r="F80" s="135">
        <v>4</v>
      </c>
      <c r="H80" s="113"/>
      <c r="I80" s="113"/>
      <c r="L80" s="211" t="s">
        <v>95</v>
      </c>
      <c r="M80" s="301" t="s">
        <v>97</v>
      </c>
      <c r="N80" s="213" t="s">
        <v>489</v>
      </c>
      <c r="O80" s="213" t="s">
        <v>477</v>
      </c>
      <c r="P80" s="213" t="s">
        <v>493</v>
      </c>
      <c r="Q80" s="135">
        <v>3</v>
      </c>
      <c r="W80" s="211" t="s">
        <v>95</v>
      </c>
      <c r="X80" s="90" t="s">
        <v>97</v>
      </c>
      <c r="Y80" s="205" t="s">
        <v>414</v>
      </c>
      <c r="Z80" s="205" t="s">
        <v>365</v>
      </c>
      <c r="AA80" s="205"/>
      <c r="AB80" s="136"/>
      <c r="AC80" s="135">
        <v>3</v>
      </c>
      <c r="AD80" s="135">
        <v>13</v>
      </c>
      <c r="AE80" s="50">
        <v>13</v>
      </c>
      <c r="AF80" s="51">
        <v>7</v>
      </c>
      <c r="AG80" s="234"/>
      <c r="AH80">
        <f t="shared" si="1"/>
        <v>10</v>
      </c>
    </row>
    <row r="81" spans="1:34" ht="30" customHeight="1" x14ac:dyDescent="0.3">
      <c r="A81" s="156" t="s">
        <v>96</v>
      </c>
      <c r="B81" s="136" t="s">
        <v>695</v>
      </c>
      <c r="C81" s="205" t="s">
        <v>476</v>
      </c>
      <c r="D81" s="205"/>
      <c r="E81" s="205"/>
      <c r="F81" s="135">
        <v>1</v>
      </c>
      <c r="H81" s="113"/>
      <c r="I81" s="113"/>
      <c r="L81" s="211" t="s">
        <v>96</v>
      </c>
      <c r="M81" s="301" t="s">
        <v>98</v>
      </c>
      <c r="N81" s="213" t="s">
        <v>465</v>
      </c>
      <c r="O81" s="213"/>
      <c r="P81" s="213"/>
      <c r="Q81" s="135">
        <v>1</v>
      </c>
      <c r="W81" s="211" t="s">
        <v>96</v>
      </c>
      <c r="X81" s="90" t="s">
        <v>98</v>
      </c>
      <c r="Y81" s="205" t="s">
        <v>393</v>
      </c>
      <c r="Z81" s="205"/>
      <c r="AA81" s="205"/>
      <c r="AB81" s="136"/>
      <c r="AC81" s="135">
        <v>1</v>
      </c>
      <c r="AD81" s="135">
        <v>2</v>
      </c>
      <c r="AE81" s="50">
        <v>3</v>
      </c>
      <c r="AF81" s="51">
        <v>3</v>
      </c>
      <c r="AG81" s="234"/>
      <c r="AH81">
        <f t="shared" si="1"/>
        <v>1</v>
      </c>
    </row>
    <row r="82" spans="1:34" ht="30" customHeight="1" x14ac:dyDescent="0.3">
      <c r="A82" s="8"/>
      <c r="B82" s="4"/>
      <c r="C82" s="6"/>
      <c r="D82" s="6"/>
      <c r="E82" s="6"/>
      <c r="F82" s="59"/>
      <c r="H82" s="113"/>
      <c r="I82" s="113"/>
      <c r="W82" s="8"/>
      <c r="Y82" s="8"/>
      <c r="Z82" s="8"/>
      <c r="AA82" s="8"/>
      <c r="AB82" s="136"/>
      <c r="AC82" s="59"/>
      <c r="AD82" s="135">
        <v>1</v>
      </c>
      <c r="AE82" s="50">
        <v>2</v>
      </c>
      <c r="AF82" s="51">
        <v>8</v>
      </c>
      <c r="AG82" s="234"/>
      <c r="AH82">
        <f t="shared" si="1"/>
        <v>1</v>
      </c>
    </row>
    <row r="83" spans="1:34" s="84" customFormat="1" ht="30" customHeight="1" x14ac:dyDescent="0.3">
      <c r="A83" s="211" t="s">
        <v>350</v>
      </c>
      <c r="B83" s="89" t="s">
        <v>251</v>
      </c>
      <c r="C83" s="215"/>
      <c r="D83" s="215"/>
      <c r="E83" s="215"/>
      <c r="F83" s="223"/>
      <c r="G83"/>
      <c r="H83" s="113"/>
      <c r="I83" s="158"/>
      <c r="L83" s="211" t="s">
        <v>350</v>
      </c>
      <c r="M83" s="212" t="s">
        <v>251</v>
      </c>
      <c r="N83" s="309"/>
      <c r="O83" s="309"/>
      <c r="P83" s="309"/>
      <c r="Q83" s="223"/>
      <c r="R83"/>
      <c r="S83" s="158"/>
      <c r="T83" s="158"/>
      <c r="U83" s="158"/>
      <c r="W83" s="211" t="s">
        <v>350</v>
      </c>
      <c r="X83" s="89" t="s">
        <v>251</v>
      </c>
      <c r="Y83" s="215"/>
      <c r="Z83" s="215"/>
      <c r="AA83" s="215"/>
      <c r="AB83" s="136"/>
      <c r="AC83" s="223"/>
      <c r="AD83" s="135"/>
      <c r="AE83" s="50"/>
      <c r="AF83" s="51"/>
      <c r="AG83" s="234"/>
      <c r="AH83">
        <f t="shared" si="1"/>
        <v>0</v>
      </c>
    </row>
    <row r="84" spans="1:34" ht="30" customHeight="1" x14ac:dyDescent="0.3">
      <c r="A84" s="156" t="s">
        <v>99</v>
      </c>
      <c r="B84" s="136" t="s">
        <v>100</v>
      </c>
      <c r="C84" s="205" t="s">
        <v>459</v>
      </c>
      <c r="D84" s="205" t="s">
        <v>473</v>
      </c>
      <c r="E84" s="205" t="s">
        <v>490</v>
      </c>
      <c r="F84" s="135">
        <v>3</v>
      </c>
      <c r="H84" s="158"/>
      <c r="I84" s="113"/>
      <c r="L84" s="211" t="s">
        <v>99</v>
      </c>
      <c r="M84" s="301" t="s">
        <v>100</v>
      </c>
      <c r="N84" s="213" t="s">
        <v>459</v>
      </c>
      <c r="O84" s="213" t="s">
        <v>473</v>
      </c>
      <c r="P84" s="213" t="s">
        <v>464</v>
      </c>
      <c r="Q84" s="135">
        <v>6</v>
      </c>
      <c r="W84" s="211" t="s">
        <v>99</v>
      </c>
      <c r="X84" s="90" t="s">
        <v>100</v>
      </c>
      <c r="Y84" s="205" t="s">
        <v>386</v>
      </c>
      <c r="Z84" s="205" t="s">
        <v>370</v>
      </c>
      <c r="AA84" s="205" t="s">
        <v>380</v>
      </c>
      <c r="AB84" s="136"/>
      <c r="AC84" s="135">
        <v>6</v>
      </c>
      <c r="AD84" s="223"/>
      <c r="AE84" s="50"/>
      <c r="AF84" s="51"/>
      <c r="AG84" s="234"/>
      <c r="AH84">
        <f t="shared" si="1"/>
        <v>-6</v>
      </c>
    </row>
    <row r="85" spans="1:34" ht="30" customHeight="1" x14ac:dyDescent="0.3">
      <c r="A85" s="156" t="s">
        <v>101</v>
      </c>
      <c r="B85" s="136" t="s">
        <v>102</v>
      </c>
      <c r="C85" s="205" t="s">
        <v>459</v>
      </c>
      <c r="D85" s="205" t="s">
        <v>461</v>
      </c>
      <c r="E85" s="205" t="s">
        <v>470</v>
      </c>
      <c r="F85" s="135">
        <v>5</v>
      </c>
      <c r="H85" s="113"/>
      <c r="I85" s="113"/>
      <c r="L85" s="211" t="s">
        <v>101</v>
      </c>
      <c r="M85" s="301" t="s">
        <v>102</v>
      </c>
      <c r="N85" s="213" t="s">
        <v>469</v>
      </c>
      <c r="O85" s="213" t="s">
        <v>514</v>
      </c>
      <c r="P85" s="213" t="s">
        <v>474</v>
      </c>
      <c r="Q85" s="135">
        <v>6</v>
      </c>
      <c r="W85" s="211" t="s">
        <v>101</v>
      </c>
      <c r="X85" s="90" t="s">
        <v>102</v>
      </c>
      <c r="Y85" s="205" t="s">
        <v>396</v>
      </c>
      <c r="Z85" s="205" t="s">
        <v>387</v>
      </c>
      <c r="AA85" s="205" t="s">
        <v>369</v>
      </c>
      <c r="AB85" s="136"/>
      <c r="AC85" s="135">
        <v>6</v>
      </c>
      <c r="AD85" s="135">
        <v>3</v>
      </c>
      <c r="AE85" s="50">
        <v>4</v>
      </c>
      <c r="AF85" s="51">
        <v>4</v>
      </c>
      <c r="AG85" s="234"/>
      <c r="AH85">
        <f t="shared" si="1"/>
        <v>-3</v>
      </c>
    </row>
    <row r="86" spans="1:34" ht="30" customHeight="1" x14ac:dyDescent="0.3">
      <c r="A86" s="156" t="s">
        <v>103</v>
      </c>
      <c r="B86" s="136" t="s">
        <v>340</v>
      </c>
      <c r="C86" s="205" t="s">
        <v>465</v>
      </c>
      <c r="D86" s="205" t="s">
        <v>473</v>
      </c>
      <c r="E86" s="205"/>
      <c r="F86" s="135">
        <v>2</v>
      </c>
      <c r="H86" s="113"/>
      <c r="I86" s="113"/>
      <c r="L86" s="211" t="s">
        <v>103</v>
      </c>
      <c r="M86" s="301" t="s">
        <v>104</v>
      </c>
      <c r="N86" s="213" t="s">
        <v>487</v>
      </c>
      <c r="O86" s="213" t="s">
        <v>463</v>
      </c>
      <c r="P86" s="213" t="s">
        <v>490</v>
      </c>
      <c r="Q86" s="135">
        <v>5</v>
      </c>
      <c r="W86" s="211" t="s">
        <v>103</v>
      </c>
      <c r="X86" s="90" t="s">
        <v>104</v>
      </c>
      <c r="Y86" s="205" t="s">
        <v>393</v>
      </c>
      <c r="Z86" s="205" t="s">
        <v>415</v>
      </c>
      <c r="AA86" s="205"/>
      <c r="AB86" s="136"/>
      <c r="AC86" s="135">
        <v>5</v>
      </c>
      <c r="AD86" s="135">
        <v>4</v>
      </c>
      <c r="AE86" s="50">
        <v>3</v>
      </c>
      <c r="AF86" s="51">
        <v>3</v>
      </c>
      <c r="AG86" s="234"/>
      <c r="AH86">
        <f t="shared" si="1"/>
        <v>-1</v>
      </c>
    </row>
    <row r="87" spans="1:34" ht="30" customHeight="1" x14ac:dyDescent="0.3">
      <c r="A87" s="156" t="s">
        <v>105</v>
      </c>
      <c r="B87" s="136" t="s">
        <v>106</v>
      </c>
      <c r="C87" s="205" t="s">
        <v>475</v>
      </c>
      <c r="D87" s="205" t="s">
        <v>915</v>
      </c>
      <c r="E87" s="205" t="s">
        <v>490</v>
      </c>
      <c r="F87" s="135">
        <v>3</v>
      </c>
      <c r="H87" s="113"/>
      <c r="I87" s="113"/>
      <c r="L87" s="211" t="s">
        <v>105</v>
      </c>
      <c r="M87" s="301" t="s">
        <v>106</v>
      </c>
      <c r="N87" s="213" t="s">
        <v>475</v>
      </c>
      <c r="O87" s="213" t="s">
        <v>514</v>
      </c>
      <c r="P87" s="213" t="s">
        <v>490</v>
      </c>
      <c r="Q87" s="135">
        <v>6</v>
      </c>
      <c r="W87" s="211" t="s">
        <v>105</v>
      </c>
      <c r="X87" s="90" t="s">
        <v>106</v>
      </c>
      <c r="Y87" s="205" t="s">
        <v>406</v>
      </c>
      <c r="Z87" s="205" t="s">
        <v>387</v>
      </c>
      <c r="AA87" s="205" t="s">
        <v>416</v>
      </c>
      <c r="AB87" s="136"/>
      <c r="AC87" s="135">
        <v>6</v>
      </c>
      <c r="AD87" s="135">
        <v>2</v>
      </c>
      <c r="AE87" s="50">
        <v>0</v>
      </c>
      <c r="AF87" s="51">
        <v>1</v>
      </c>
      <c r="AG87" s="234"/>
      <c r="AH87">
        <f t="shared" si="1"/>
        <v>-4</v>
      </c>
    </row>
    <row r="88" spans="1:34" ht="30" customHeight="1" x14ac:dyDescent="0.3">
      <c r="A88" s="156" t="s">
        <v>107</v>
      </c>
      <c r="B88" s="136" t="s">
        <v>108</v>
      </c>
      <c r="C88" s="205" t="s">
        <v>459</v>
      </c>
      <c r="D88" s="205" t="s">
        <v>473</v>
      </c>
      <c r="E88" s="205" t="s">
        <v>490</v>
      </c>
      <c r="F88" s="135">
        <v>4</v>
      </c>
      <c r="H88" s="113"/>
      <c r="I88" s="113"/>
      <c r="L88" s="211" t="s">
        <v>107</v>
      </c>
      <c r="M88" s="301" t="s">
        <v>108</v>
      </c>
      <c r="N88" s="213" t="s">
        <v>515</v>
      </c>
      <c r="O88" s="213" t="s">
        <v>460</v>
      </c>
      <c r="P88" s="213" t="s">
        <v>491</v>
      </c>
      <c r="Q88" s="135">
        <v>6</v>
      </c>
      <c r="W88" s="211" t="s">
        <v>107</v>
      </c>
      <c r="X88" s="90" t="s">
        <v>108</v>
      </c>
      <c r="Y88" s="205" t="s">
        <v>373</v>
      </c>
      <c r="Z88" s="205" t="s">
        <v>387</v>
      </c>
      <c r="AA88" s="205" t="s">
        <v>417</v>
      </c>
      <c r="AB88" s="136"/>
      <c r="AC88" s="135">
        <v>6</v>
      </c>
      <c r="AD88" s="135">
        <v>3</v>
      </c>
      <c r="AE88" s="50">
        <v>5</v>
      </c>
      <c r="AF88" s="51">
        <v>3</v>
      </c>
      <c r="AG88" s="234"/>
      <c r="AH88">
        <f t="shared" si="1"/>
        <v>-3</v>
      </c>
    </row>
    <row r="89" spans="1:34" ht="30" customHeight="1" x14ac:dyDescent="0.3">
      <c r="A89" s="156" t="s">
        <v>109</v>
      </c>
      <c r="B89" s="136" t="s">
        <v>182</v>
      </c>
      <c r="C89" s="205" t="s">
        <v>469</v>
      </c>
      <c r="D89" s="205" t="s">
        <v>473</v>
      </c>
      <c r="E89" s="205" t="s">
        <v>490</v>
      </c>
      <c r="F89" s="135">
        <v>4</v>
      </c>
      <c r="H89" s="113"/>
      <c r="I89" s="113"/>
      <c r="L89" s="211" t="s">
        <v>109</v>
      </c>
      <c r="M89" s="301" t="s">
        <v>182</v>
      </c>
      <c r="N89" s="213" t="s">
        <v>475</v>
      </c>
      <c r="O89" s="213" t="s">
        <v>461</v>
      </c>
      <c r="P89" s="213" t="s">
        <v>483</v>
      </c>
      <c r="Q89" s="135">
        <v>4</v>
      </c>
      <c r="W89" s="211" t="s">
        <v>109</v>
      </c>
      <c r="X89" s="90" t="s">
        <v>182</v>
      </c>
      <c r="Y89" s="205" t="s">
        <v>373</v>
      </c>
      <c r="Z89" s="205" t="s">
        <v>389</v>
      </c>
      <c r="AA89" s="205"/>
      <c r="AB89" s="136"/>
      <c r="AC89" s="135">
        <v>4</v>
      </c>
      <c r="AD89" s="135">
        <v>5</v>
      </c>
      <c r="AE89" s="50">
        <v>7</v>
      </c>
      <c r="AF89" s="51">
        <v>7</v>
      </c>
      <c r="AG89" s="234"/>
      <c r="AH89">
        <f t="shared" si="1"/>
        <v>1</v>
      </c>
    </row>
    <row r="90" spans="1:34" ht="30" customHeight="1" x14ac:dyDescent="0.3">
      <c r="A90" s="156" t="s">
        <v>110</v>
      </c>
      <c r="B90" s="136" t="s">
        <v>436</v>
      </c>
      <c r="C90" s="205" t="s">
        <v>459</v>
      </c>
      <c r="D90" s="205" t="s">
        <v>473</v>
      </c>
      <c r="E90" s="205" t="s">
        <v>482</v>
      </c>
      <c r="F90" s="135">
        <v>3</v>
      </c>
      <c r="H90" s="113"/>
      <c r="I90" s="113"/>
      <c r="L90" s="211" t="s">
        <v>110</v>
      </c>
      <c r="M90" s="301" t="s">
        <v>111</v>
      </c>
      <c r="N90" s="213" t="s">
        <v>515</v>
      </c>
      <c r="O90" s="213" t="s">
        <v>460</v>
      </c>
      <c r="P90" s="213" t="s">
        <v>491</v>
      </c>
      <c r="Q90" s="135">
        <v>4</v>
      </c>
      <c r="W90" s="211" t="s">
        <v>110</v>
      </c>
      <c r="X90" s="90" t="s">
        <v>111</v>
      </c>
      <c r="Y90" s="205"/>
      <c r="Z90" s="205"/>
      <c r="AA90" s="205"/>
      <c r="AB90" s="136"/>
      <c r="AC90" s="135">
        <v>4</v>
      </c>
      <c r="AD90" s="135">
        <v>2</v>
      </c>
      <c r="AE90" s="50">
        <v>4</v>
      </c>
      <c r="AF90" s="51">
        <v>2</v>
      </c>
      <c r="AG90" s="234"/>
      <c r="AH90">
        <f t="shared" si="1"/>
        <v>-2</v>
      </c>
    </row>
    <row r="91" spans="1:34" ht="30" customHeight="1" x14ac:dyDescent="0.3">
      <c r="A91" s="156" t="s">
        <v>112</v>
      </c>
      <c r="B91" s="136" t="s">
        <v>113</v>
      </c>
      <c r="C91" s="205" t="s">
        <v>475</v>
      </c>
      <c r="D91" s="205" t="s">
        <v>460</v>
      </c>
      <c r="E91" s="205" t="s">
        <v>474</v>
      </c>
      <c r="F91" s="135">
        <v>3</v>
      </c>
      <c r="H91" s="158"/>
      <c r="I91" s="113"/>
      <c r="L91" s="211" t="s">
        <v>112</v>
      </c>
      <c r="M91" s="301" t="s">
        <v>113</v>
      </c>
      <c r="N91" s="213" t="s">
        <v>459</v>
      </c>
      <c r="O91" s="213" t="s">
        <v>463</v>
      </c>
      <c r="P91" s="213" t="s">
        <v>516</v>
      </c>
      <c r="Q91" s="135">
        <v>5</v>
      </c>
      <c r="W91" s="211" t="s">
        <v>112</v>
      </c>
      <c r="X91" s="90" t="s">
        <v>113</v>
      </c>
      <c r="Y91" s="205" t="s">
        <v>393</v>
      </c>
      <c r="Z91" s="205"/>
      <c r="AA91" s="205"/>
      <c r="AB91" s="136"/>
      <c r="AC91" s="135">
        <v>5</v>
      </c>
      <c r="AD91" s="135"/>
      <c r="AE91" s="50">
        <v>1</v>
      </c>
      <c r="AF91" s="51">
        <v>0</v>
      </c>
      <c r="AG91" s="234"/>
      <c r="AH91">
        <f t="shared" si="1"/>
        <v>-5</v>
      </c>
    </row>
    <row r="92" spans="1:34" ht="30" customHeight="1" x14ac:dyDescent="0.3">
      <c r="A92" s="156" t="s">
        <v>114</v>
      </c>
      <c r="B92" s="136" t="s">
        <v>115</v>
      </c>
      <c r="C92" s="205" t="s">
        <v>465</v>
      </c>
      <c r="D92" s="205" t="s">
        <v>460</v>
      </c>
      <c r="E92" s="205" t="s">
        <v>464</v>
      </c>
      <c r="F92" s="135">
        <v>8</v>
      </c>
      <c r="H92" s="113"/>
      <c r="I92" s="113"/>
      <c r="L92" s="211" t="s">
        <v>114</v>
      </c>
      <c r="M92" s="301" t="s">
        <v>115</v>
      </c>
      <c r="N92" s="213" t="s">
        <v>465</v>
      </c>
      <c r="O92" s="213" t="s">
        <v>461</v>
      </c>
      <c r="P92" s="213" t="s">
        <v>491</v>
      </c>
      <c r="Q92" s="135">
        <v>9</v>
      </c>
      <c r="W92" s="211" t="s">
        <v>114</v>
      </c>
      <c r="X92" s="90" t="s">
        <v>115</v>
      </c>
      <c r="Y92" s="205" t="s">
        <v>406</v>
      </c>
      <c r="Z92" s="205" t="s">
        <v>389</v>
      </c>
      <c r="AA92" s="205" t="s">
        <v>369</v>
      </c>
      <c r="AB92" s="136"/>
      <c r="AC92" s="135">
        <v>9</v>
      </c>
      <c r="AD92" s="135">
        <v>1</v>
      </c>
      <c r="AE92" s="50">
        <v>5</v>
      </c>
      <c r="AF92" s="51">
        <v>3</v>
      </c>
      <c r="AG92" s="234"/>
      <c r="AH92">
        <f t="shared" si="1"/>
        <v>-8</v>
      </c>
    </row>
    <row r="93" spans="1:34" ht="30" customHeight="1" x14ac:dyDescent="0.3">
      <c r="A93" s="156" t="s">
        <v>116</v>
      </c>
      <c r="B93" s="136" t="s">
        <v>181</v>
      </c>
      <c r="C93" s="205" t="s">
        <v>517</v>
      </c>
      <c r="D93" s="205" t="s">
        <v>463</v>
      </c>
      <c r="E93" s="205" t="s">
        <v>482</v>
      </c>
      <c r="F93" s="135">
        <v>5</v>
      </c>
      <c r="H93" s="113"/>
      <c r="I93" s="113"/>
      <c r="L93" s="211" t="s">
        <v>116</v>
      </c>
      <c r="M93" s="301" t="s">
        <v>181</v>
      </c>
      <c r="N93" s="213" t="s">
        <v>517</v>
      </c>
      <c r="O93" s="213" t="s">
        <v>463</v>
      </c>
      <c r="P93" s="213" t="s">
        <v>482</v>
      </c>
      <c r="Q93" s="135">
        <v>3</v>
      </c>
      <c r="W93" s="211" t="s">
        <v>116</v>
      </c>
      <c r="X93" s="90" t="s">
        <v>181</v>
      </c>
      <c r="Y93" s="205" t="s">
        <v>396</v>
      </c>
      <c r="Z93" s="205" t="s">
        <v>365</v>
      </c>
      <c r="AA93" s="205"/>
      <c r="AB93" s="136"/>
      <c r="AC93" s="135">
        <v>3</v>
      </c>
      <c r="AD93" s="135">
        <v>7</v>
      </c>
      <c r="AE93" s="50">
        <v>6</v>
      </c>
      <c r="AF93" s="51">
        <v>4</v>
      </c>
      <c r="AG93" s="234"/>
      <c r="AH93">
        <f t="shared" si="1"/>
        <v>4</v>
      </c>
    </row>
    <row r="94" spans="1:34" ht="30" customHeight="1" x14ac:dyDescent="0.3">
      <c r="A94" s="156" t="s">
        <v>121</v>
      </c>
      <c r="B94" s="136" t="s">
        <v>179</v>
      </c>
      <c r="C94" s="205" t="s">
        <v>517</v>
      </c>
      <c r="D94" s="205" t="s">
        <v>463</v>
      </c>
      <c r="E94" s="205" t="s">
        <v>482</v>
      </c>
      <c r="F94" s="135">
        <v>3</v>
      </c>
      <c r="H94" s="113"/>
      <c r="I94" s="113"/>
      <c r="L94" s="211" t="s">
        <v>121</v>
      </c>
      <c r="M94" s="301" t="s">
        <v>179</v>
      </c>
      <c r="N94" s="213" t="s">
        <v>469</v>
      </c>
      <c r="O94" s="213" t="s">
        <v>536</v>
      </c>
      <c r="P94" s="213" t="s">
        <v>493</v>
      </c>
      <c r="Q94" s="135">
        <v>4</v>
      </c>
      <c r="W94" s="211" t="s">
        <v>121</v>
      </c>
      <c r="X94" s="90" t="s">
        <v>179</v>
      </c>
      <c r="Y94" s="205" t="s">
        <v>418</v>
      </c>
      <c r="Z94" s="205" t="s">
        <v>389</v>
      </c>
      <c r="AA94" s="205" t="s">
        <v>419</v>
      </c>
      <c r="AB94" s="136"/>
      <c r="AC94" s="135">
        <v>4</v>
      </c>
      <c r="AD94" s="135">
        <v>3</v>
      </c>
      <c r="AE94" s="50">
        <v>3</v>
      </c>
      <c r="AF94" s="51">
        <v>3</v>
      </c>
      <c r="AG94" s="234"/>
      <c r="AH94">
        <f t="shared" si="1"/>
        <v>-1</v>
      </c>
    </row>
    <row r="95" spans="1:34" ht="30" customHeight="1" x14ac:dyDescent="0.3">
      <c r="A95" s="156" t="s">
        <v>117</v>
      </c>
      <c r="B95" s="136" t="s">
        <v>696</v>
      </c>
      <c r="C95" s="205" t="s">
        <v>475</v>
      </c>
      <c r="D95" s="205" t="s">
        <v>471</v>
      </c>
      <c r="E95" s="205" t="s">
        <v>474</v>
      </c>
      <c r="F95" s="135">
        <v>4</v>
      </c>
      <c r="H95" s="113"/>
      <c r="I95" s="113"/>
      <c r="L95" s="211" t="s">
        <v>117</v>
      </c>
      <c r="M95" s="301" t="s">
        <v>118</v>
      </c>
      <c r="N95" s="213" t="s">
        <v>515</v>
      </c>
      <c r="O95" s="213" t="s">
        <v>463</v>
      </c>
      <c r="P95" s="213"/>
      <c r="Q95" s="135">
        <v>2</v>
      </c>
      <c r="W95" s="211" t="s">
        <v>117</v>
      </c>
      <c r="X95" s="90" t="s">
        <v>118</v>
      </c>
      <c r="Y95" s="205" t="s">
        <v>413</v>
      </c>
      <c r="Z95" s="205" t="s">
        <v>370</v>
      </c>
      <c r="AA95" s="205" t="s">
        <v>398</v>
      </c>
      <c r="AB95" s="136"/>
      <c r="AC95" s="135">
        <v>2</v>
      </c>
      <c r="AD95" s="135">
        <v>4</v>
      </c>
      <c r="AE95" s="50">
        <v>3</v>
      </c>
      <c r="AF95" s="51">
        <v>3</v>
      </c>
      <c r="AG95" s="234"/>
      <c r="AH95">
        <f t="shared" si="1"/>
        <v>2</v>
      </c>
    </row>
    <row r="96" spans="1:34" ht="30" customHeight="1" x14ac:dyDescent="0.3">
      <c r="A96" s="156" t="s">
        <v>119</v>
      </c>
      <c r="B96" s="136" t="s">
        <v>118</v>
      </c>
      <c r="C96" s="205" t="s">
        <v>916</v>
      </c>
      <c r="D96" s="205" t="s">
        <v>463</v>
      </c>
      <c r="E96" s="205"/>
      <c r="F96" s="135">
        <v>2</v>
      </c>
      <c r="H96" s="113"/>
      <c r="I96" s="113"/>
      <c r="L96" s="211" t="s">
        <v>119</v>
      </c>
      <c r="M96" s="301" t="s">
        <v>178</v>
      </c>
      <c r="N96" s="213" t="s">
        <v>465</v>
      </c>
      <c r="O96" s="213" t="s">
        <v>514</v>
      </c>
      <c r="P96" s="213"/>
      <c r="Q96" s="135">
        <v>2</v>
      </c>
      <c r="W96" s="211" t="s">
        <v>119</v>
      </c>
      <c r="X96" s="90" t="s">
        <v>178</v>
      </c>
      <c r="Y96" s="205" t="s">
        <v>393</v>
      </c>
      <c r="Z96" s="205"/>
      <c r="AA96" s="205"/>
      <c r="AB96" s="136"/>
      <c r="AC96" s="135">
        <v>2</v>
      </c>
      <c r="AD96" s="135">
        <v>3</v>
      </c>
      <c r="AE96" s="50">
        <v>2</v>
      </c>
      <c r="AF96" s="51">
        <v>3</v>
      </c>
      <c r="AG96" s="234"/>
      <c r="AH96">
        <f t="shared" si="1"/>
        <v>1</v>
      </c>
    </row>
    <row r="97" spans="1:34" ht="30" customHeight="1" x14ac:dyDescent="0.3">
      <c r="A97" s="156" t="s">
        <v>120</v>
      </c>
      <c r="B97" s="136" t="s">
        <v>178</v>
      </c>
      <c r="C97" s="205"/>
      <c r="D97" s="205" t="s">
        <v>463</v>
      </c>
      <c r="E97" s="205"/>
      <c r="F97" s="135">
        <v>1</v>
      </c>
      <c r="H97" s="113"/>
      <c r="I97" s="113"/>
      <c r="L97" s="211" t="s">
        <v>120</v>
      </c>
      <c r="M97" s="301" t="s">
        <v>180</v>
      </c>
      <c r="N97" s="213" t="s">
        <v>459</v>
      </c>
      <c r="O97" s="213" t="s">
        <v>514</v>
      </c>
      <c r="P97" s="213" t="s">
        <v>491</v>
      </c>
      <c r="Q97" s="135">
        <v>6</v>
      </c>
      <c r="W97" s="211" t="s">
        <v>120</v>
      </c>
      <c r="X97" s="90" t="s">
        <v>180</v>
      </c>
      <c r="Y97" s="205" t="s">
        <v>386</v>
      </c>
      <c r="Z97" s="205" t="s">
        <v>387</v>
      </c>
      <c r="AA97" s="205" t="s">
        <v>369</v>
      </c>
      <c r="AB97" s="136"/>
      <c r="AC97" s="135">
        <v>6</v>
      </c>
      <c r="AD97" s="135">
        <v>1</v>
      </c>
      <c r="AE97" s="50">
        <v>2</v>
      </c>
      <c r="AF97" s="51">
        <v>3</v>
      </c>
      <c r="AG97" s="234"/>
      <c r="AH97">
        <f t="shared" si="1"/>
        <v>-5</v>
      </c>
    </row>
    <row r="98" spans="1:34" ht="30" customHeight="1" x14ac:dyDescent="0.3">
      <c r="A98" s="156" t="s">
        <v>697</v>
      </c>
      <c r="B98" s="136" t="s">
        <v>180</v>
      </c>
      <c r="C98" s="6" t="s">
        <v>459</v>
      </c>
      <c r="D98" s="6" t="s">
        <v>917</v>
      </c>
      <c r="E98" s="6" t="s">
        <v>474</v>
      </c>
      <c r="F98" s="59">
        <v>5</v>
      </c>
      <c r="H98" s="113"/>
      <c r="I98" s="113"/>
      <c r="W98" s="8"/>
      <c r="Y98" s="8"/>
      <c r="Z98" s="8"/>
      <c r="AA98" s="8"/>
      <c r="AB98" s="136"/>
      <c r="AC98" s="59"/>
      <c r="AD98" s="135">
        <v>4</v>
      </c>
      <c r="AE98" s="50">
        <v>4</v>
      </c>
      <c r="AF98" s="51">
        <v>5</v>
      </c>
      <c r="AG98" s="234"/>
      <c r="AH98">
        <f t="shared" si="1"/>
        <v>4</v>
      </c>
    </row>
    <row r="99" spans="1:34" s="84" customFormat="1" ht="30" customHeight="1" x14ac:dyDescent="0.3">
      <c r="A99" s="156"/>
      <c r="B99" s="90"/>
      <c r="C99" s="6"/>
      <c r="D99" s="6"/>
      <c r="E99" s="6"/>
      <c r="F99" s="59"/>
      <c r="G99"/>
      <c r="H99" s="113"/>
      <c r="I99" s="158"/>
      <c r="L99" s="211" t="s">
        <v>351</v>
      </c>
      <c r="M99" s="212" t="s">
        <v>252</v>
      </c>
      <c r="N99" s="309"/>
      <c r="O99" s="309"/>
      <c r="P99" s="309"/>
      <c r="Q99" s="223"/>
      <c r="R99"/>
      <c r="S99" s="158"/>
      <c r="T99" s="158"/>
      <c r="U99" s="158"/>
      <c r="W99" s="211" t="s">
        <v>351</v>
      </c>
      <c r="X99" s="89" t="s">
        <v>252</v>
      </c>
      <c r="Y99" s="215"/>
      <c r="Z99" s="215"/>
      <c r="AA99" s="215"/>
      <c r="AB99" s="136"/>
      <c r="AC99" s="223"/>
      <c r="AD99" s="135"/>
      <c r="AE99" s="50"/>
      <c r="AF99" s="51"/>
      <c r="AG99" s="234"/>
      <c r="AH99">
        <f t="shared" si="1"/>
        <v>0</v>
      </c>
    </row>
    <row r="100" spans="1:34" ht="30" customHeight="1" x14ac:dyDescent="0.3">
      <c r="A100" s="211" t="s">
        <v>351</v>
      </c>
      <c r="B100" s="89" t="s">
        <v>252</v>
      </c>
      <c r="C100" s="215" t="s">
        <v>791</v>
      </c>
      <c r="D100" s="215"/>
      <c r="E100" s="215"/>
      <c r="F100" s="223"/>
      <c r="H100" s="158"/>
      <c r="I100" s="113"/>
      <c r="L100" s="211" t="s">
        <v>195</v>
      </c>
      <c r="M100" s="301" t="s">
        <v>200</v>
      </c>
      <c r="N100" s="213" t="s">
        <v>489</v>
      </c>
      <c r="O100" s="213"/>
      <c r="P100" s="213"/>
      <c r="Q100" s="135">
        <v>1</v>
      </c>
      <c r="W100" s="211" t="s">
        <v>195</v>
      </c>
      <c r="X100" s="90" t="s">
        <v>200</v>
      </c>
      <c r="Y100" s="205"/>
      <c r="Z100" s="205"/>
      <c r="AA100" s="205"/>
      <c r="AB100" s="136"/>
      <c r="AC100" s="135">
        <v>1</v>
      </c>
      <c r="AD100" s="223"/>
      <c r="AE100" s="50"/>
      <c r="AF100" s="51"/>
      <c r="AG100" s="234"/>
      <c r="AH100">
        <f t="shared" si="1"/>
        <v>-1</v>
      </c>
    </row>
    <row r="101" spans="1:34" ht="30" customHeight="1" x14ac:dyDescent="0.3">
      <c r="A101" s="211" t="s">
        <v>195</v>
      </c>
      <c r="B101" s="90" t="s">
        <v>200</v>
      </c>
      <c r="C101" s="205" t="s">
        <v>489</v>
      </c>
      <c r="D101" s="205"/>
      <c r="E101" s="205"/>
      <c r="F101" s="135">
        <v>1</v>
      </c>
      <c r="H101" s="113"/>
      <c r="I101" s="113"/>
      <c r="L101" s="211" t="s">
        <v>196</v>
      </c>
      <c r="M101" s="301" t="s">
        <v>201</v>
      </c>
      <c r="N101" s="213" t="s">
        <v>475</v>
      </c>
      <c r="O101" s="213" t="s">
        <v>520</v>
      </c>
      <c r="P101" s="213" t="s">
        <v>488</v>
      </c>
      <c r="Q101" s="135">
        <v>4</v>
      </c>
      <c r="W101" s="211" t="s">
        <v>196</v>
      </c>
      <c r="X101" s="90" t="s">
        <v>201</v>
      </c>
      <c r="Y101" s="205"/>
      <c r="Z101" s="205"/>
      <c r="AA101" s="205"/>
      <c r="AB101" s="136"/>
      <c r="AC101" s="135">
        <v>4</v>
      </c>
      <c r="AD101" s="135"/>
      <c r="AE101" s="50">
        <v>0</v>
      </c>
      <c r="AF101" s="51"/>
      <c r="AG101" s="234"/>
      <c r="AH101">
        <f t="shared" si="1"/>
        <v>-4</v>
      </c>
    </row>
    <row r="102" spans="1:34" ht="30" customHeight="1" x14ac:dyDescent="0.3">
      <c r="A102" s="211" t="s">
        <v>196</v>
      </c>
      <c r="B102" s="90" t="s">
        <v>201</v>
      </c>
      <c r="C102" s="205" t="s">
        <v>475</v>
      </c>
      <c r="D102" s="205" t="s">
        <v>529</v>
      </c>
      <c r="E102" s="205" t="s">
        <v>470</v>
      </c>
      <c r="F102" s="135">
        <v>3</v>
      </c>
      <c r="H102" s="113"/>
      <c r="I102" s="113"/>
      <c r="L102" s="211" t="s">
        <v>197</v>
      </c>
      <c r="M102" s="301" t="s">
        <v>202</v>
      </c>
      <c r="N102" s="213" t="s">
        <v>630</v>
      </c>
      <c r="O102" s="213"/>
      <c r="P102" s="213"/>
      <c r="Q102" s="135">
        <v>1</v>
      </c>
      <c r="W102" s="211" t="s">
        <v>197</v>
      </c>
      <c r="X102" s="90" t="s">
        <v>202</v>
      </c>
      <c r="Y102" s="205"/>
      <c r="Z102" s="205"/>
      <c r="AA102" s="205"/>
      <c r="AB102" s="136"/>
      <c r="AC102" s="135">
        <v>1</v>
      </c>
      <c r="AD102" s="135"/>
      <c r="AE102" s="50">
        <v>1</v>
      </c>
      <c r="AF102" s="51"/>
      <c r="AG102" s="234"/>
      <c r="AH102">
        <f t="shared" si="1"/>
        <v>-1</v>
      </c>
    </row>
    <row r="103" spans="1:34" ht="30" customHeight="1" x14ac:dyDescent="0.3">
      <c r="A103" s="211" t="s">
        <v>197</v>
      </c>
      <c r="B103" s="90" t="s">
        <v>202</v>
      </c>
      <c r="C103" s="205"/>
      <c r="D103" s="205"/>
      <c r="E103" s="205"/>
      <c r="F103" s="135">
        <v>0</v>
      </c>
      <c r="H103" s="113"/>
      <c r="I103" s="113"/>
      <c r="L103" s="211" t="s">
        <v>198</v>
      </c>
      <c r="M103" s="301" t="s">
        <v>203</v>
      </c>
      <c r="N103" s="213" t="s">
        <v>475</v>
      </c>
      <c r="O103" s="213" t="s">
        <v>473</v>
      </c>
      <c r="P103" s="213"/>
      <c r="Q103" s="135">
        <v>2</v>
      </c>
      <c r="W103" s="211" t="s">
        <v>198</v>
      </c>
      <c r="X103" s="90" t="s">
        <v>203</v>
      </c>
      <c r="Y103" s="205" t="s">
        <v>373</v>
      </c>
      <c r="Z103" s="205" t="s">
        <v>374</v>
      </c>
      <c r="AA103" s="205"/>
      <c r="AB103" s="136"/>
      <c r="AC103" s="135">
        <v>2</v>
      </c>
      <c r="AD103" s="135"/>
      <c r="AE103" s="50">
        <v>0</v>
      </c>
      <c r="AF103" s="51"/>
      <c r="AG103" s="234"/>
      <c r="AH103">
        <f t="shared" si="1"/>
        <v>-2</v>
      </c>
    </row>
    <row r="104" spans="1:34" ht="30" customHeight="1" x14ac:dyDescent="0.3">
      <c r="A104" s="211" t="s">
        <v>198</v>
      </c>
      <c r="B104" s="90" t="s">
        <v>203</v>
      </c>
      <c r="C104" s="205" t="s">
        <v>475</v>
      </c>
      <c r="D104" s="205" t="s">
        <v>473</v>
      </c>
      <c r="E104" s="205"/>
      <c r="F104" s="135">
        <v>2</v>
      </c>
      <c r="H104" s="158"/>
      <c r="I104" s="113"/>
      <c r="L104" s="211" t="s">
        <v>199</v>
      </c>
      <c r="M104" s="301" t="s">
        <v>204</v>
      </c>
      <c r="N104" s="213" t="s">
        <v>472</v>
      </c>
      <c r="O104" s="213" t="s">
        <v>473</v>
      </c>
      <c r="P104" s="213" t="s">
        <v>488</v>
      </c>
      <c r="Q104" s="135">
        <v>5</v>
      </c>
      <c r="W104" s="211" t="s">
        <v>199</v>
      </c>
      <c r="X104" s="90" t="s">
        <v>204</v>
      </c>
      <c r="Y104" s="205" t="s">
        <v>414</v>
      </c>
      <c r="Z104" s="205" t="s">
        <v>368</v>
      </c>
      <c r="AA104" s="205" t="s">
        <v>412</v>
      </c>
      <c r="AB104" s="136"/>
      <c r="AC104" s="135">
        <v>5</v>
      </c>
      <c r="AD104" s="135">
        <v>2</v>
      </c>
      <c r="AE104" s="50">
        <v>2</v>
      </c>
      <c r="AF104" s="51"/>
      <c r="AG104" s="234"/>
      <c r="AH104">
        <f t="shared" si="1"/>
        <v>-3</v>
      </c>
    </row>
    <row r="105" spans="1:34" ht="30" customHeight="1" x14ac:dyDescent="0.3">
      <c r="A105" s="211" t="s">
        <v>199</v>
      </c>
      <c r="B105" s="90" t="s">
        <v>204</v>
      </c>
      <c r="C105" s="205" t="s">
        <v>923</v>
      </c>
      <c r="D105" s="205" t="s">
        <v>529</v>
      </c>
      <c r="E105" s="205" t="s">
        <v>924</v>
      </c>
      <c r="F105" s="135">
        <v>6</v>
      </c>
      <c r="H105" s="113"/>
      <c r="I105" s="113"/>
      <c r="W105" s="8"/>
      <c r="Y105" s="8"/>
      <c r="Z105" s="8"/>
      <c r="AA105" s="8"/>
      <c r="AB105" s="136"/>
      <c r="AC105" s="59"/>
      <c r="AD105" s="135">
        <v>7</v>
      </c>
      <c r="AE105" s="50">
        <v>8</v>
      </c>
      <c r="AF105" s="51"/>
      <c r="AG105" s="234"/>
      <c r="AH105">
        <f t="shared" si="1"/>
        <v>7</v>
      </c>
    </row>
    <row r="106" spans="1:34" s="84" customFormat="1" ht="30" customHeight="1" x14ac:dyDescent="0.3">
      <c r="A106" s="8"/>
      <c r="B106" s="4"/>
      <c r="C106" s="6"/>
      <c r="D106" s="6"/>
      <c r="E106" s="6"/>
      <c r="F106" s="59"/>
      <c r="G106"/>
      <c r="H106" s="113"/>
      <c r="I106" s="158"/>
      <c r="L106" s="211" t="s">
        <v>352</v>
      </c>
      <c r="M106" s="212" t="s">
        <v>253</v>
      </c>
      <c r="N106" s="309"/>
      <c r="O106" s="309"/>
      <c r="P106" s="309"/>
      <c r="Q106" s="223"/>
      <c r="R106"/>
      <c r="S106" s="158"/>
      <c r="T106" s="158"/>
      <c r="U106" s="158"/>
      <c r="W106" s="211" t="s">
        <v>352</v>
      </c>
      <c r="X106" s="89" t="s">
        <v>253</v>
      </c>
      <c r="Y106" s="215"/>
      <c r="Z106" s="215"/>
      <c r="AA106" s="215"/>
      <c r="AB106" s="136"/>
      <c r="AC106" s="223"/>
      <c r="AD106" s="135"/>
      <c r="AE106" s="50"/>
      <c r="AF106" s="51"/>
      <c r="AG106" s="234"/>
      <c r="AH106">
        <f t="shared" si="1"/>
        <v>0</v>
      </c>
    </row>
    <row r="107" spans="1:34" ht="30" customHeight="1" x14ac:dyDescent="0.3">
      <c r="A107" s="211" t="s">
        <v>352</v>
      </c>
      <c r="B107" s="89" t="s">
        <v>253</v>
      </c>
      <c r="C107" s="215"/>
      <c r="D107" s="215"/>
      <c r="E107" s="215"/>
      <c r="F107" s="223"/>
      <c r="H107" s="113"/>
      <c r="I107" s="113"/>
      <c r="L107" s="211" t="s">
        <v>122</v>
      </c>
      <c r="M107" s="301" t="s">
        <v>228</v>
      </c>
      <c r="N107" s="213" t="s">
        <v>532</v>
      </c>
      <c r="O107" s="213" t="s">
        <v>541</v>
      </c>
      <c r="P107" s="213"/>
      <c r="Q107" s="135">
        <v>4</v>
      </c>
      <c r="W107" s="211" t="s">
        <v>122</v>
      </c>
      <c r="X107" s="90" t="s">
        <v>228</v>
      </c>
      <c r="Y107" s="205"/>
      <c r="Z107" s="205"/>
      <c r="AA107" s="205"/>
      <c r="AB107" s="136"/>
      <c r="AC107" s="135">
        <v>4</v>
      </c>
      <c r="AD107" s="223"/>
      <c r="AE107" s="50"/>
      <c r="AF107" s="51"/>
      <c r="AG107" s="234"/>
      <c r="AH107">
        <f t="shared" si="1"/>
        <v>-4</v>
      </c>
    </row>
    <row r="108" spans="1:34" ht="30" customHeight="1" x14ac:dyDescent="0.3">
      <c r="A108" s="156" t="s">
        <v>122</v>
      </c>
      <c r="B108" s="136" t="s">
        <v>228</v>
      </c>
      <c r="C108" s="205"/>
      <c r="D108" s="205"/>
      <c r="E108" s="205"/>
      <c r="F108" s="135">
        <v>0</v>
      </c>
      <c r="H108" s="113"/>
      <c r="I108" s="113"/>
      <c r="L108" s="211" t="s">
        <v>123</v>
      </c>
      <c r="M108" s="301" t="s">
        <v>227</v>
      </c>
      <c r="N108" s="213" t="s">
        <v>530</v>
      </c>
      <c r="O108" s="213"/>
      <c r="P108" s="213"/>
      <c r="Q108" s="135">
        <v>1</v>
      </c>
      <c r="W108" s="211" t="s">
        <v>123</v>
      </c>
      <c r="X108" s="90" t="s">
        <v>227</v>
      </c>
      <c r="Y108" s="205"/>
      <c r="Z108" s="205"/>
      <c r="AA108" s="205"/>
      <c r="AB108" s="136"/>
      <c r="AC108" s="135">
        <v>0</v>
      </c>
      <c r="AD108" s="135"/>
      <c r="AE108" s="50">
        <v>3</v>
      </c>
      <c r="AF108" s="51">
        <v>0</v>
      </c>
      <c r="AG108" s="190"/>
      <c r="AH108">
        <f t="shared" si="1"/>
        <v>0</v>
      </c>
    </row>
    <row r="109" spans="1:34" ht="30" customHeight="1" x14ac:dyDescent="0.3">
      <c r="A109" s="156" t="s">
        <v>123</v>
      </c>
      <c r="B109" s="136" t="s">
        <v>227</v>
      </c>
      <c r="C109" s="205" t="s">
        <v>861</v>
      </c>
      <c r="D109" s="205" t="s">
        <v>862</v>
      </c>
      <c r="E109" s="205" t="s">
        <v>863</v>
      </c>
      <c r="F109" s="135">
        <v>5</v>
      </c>
      <c r="H109" s="113"/>
      <c r="I109" s="113"/>
      <c r="L109" s="211" t="s">
        <v>124</v>
      </c>
      <c r="M109" s="301" t="s">
        <v>638</v>
      </c>
      <c r="N109" s="213" t="s">
        <v>521</v>
      </c>
      <c r="O109" s="213" t="s">
        <v>522</v>
      </c>
      <c r="P109" s="213" t="s">
        <v>523</v>
      </c>
      <c r="Q109" s="135">
        <v>4</v>
      </c>
      <c r="W109" s="211" t="s">
        <v>124</v>
      </c>
      <c r="X109" s="90" t="s">
        <v>336</v>
      </c>
      <c r="Y109" s="205" t="s">
        <v>420</v>
      </c>
      <c r="Z109" s="205" t="s">
        <v>421</v>
      </c>
      <c r="AA109" s="205"/>
      <c r="AB109" s="136"/>
      <c r="AC109" s="135">
        <v>4</v>
      </c>
      <c r="AD109" s="135"/>
      <c r="AE109" s="50">
        <v>5</v>
      </c>
      <c r="AF109" s="51">
        <v>1</v>
      </c>
      <c r="AG109" s="190"/>
      <c r="AH109">
        <f t="shared" si="1"/>
        <v>-4</v>
      </c>
    </row>
    <row r="110" spans="1:34" ht="30" customHeight="1" x14ac:dyDescent="0.3">
      <c r="A110" s="156" t="s">
        <v>124</v>
      </c>
      <c r="B110" s="136" t="s">
        <v>449</v>
      </c>
      <c r="C110" s="205" t="s">
        <v>865</v>
      </c>
      <c r="D110" s="205"/>
      <c r="E110" s="205"/>
      <c r="F110" s="135">
        <v>2</v>
      </c>
      <c r="H110" s="158"/>
      <c r="I110" s="113"/>
      <c r="L110" s="211" t="s">
        <v>192</v>
      </c>
      <c r="M110" s="301" t="s">
        <v>639</v>
      </c>
      <c r="N110" s="213"/>
      <c r="O110" s="213" t="s">
        <v>494</v>
      </c>
      <c r="P110" s="213"/>
      <c r="Q110" s="135">
        <v>2</v>
      </c>
      <c r="W110" s="211" t="s">
        <v>192</v>
      </c>
      <c r="X110" s="90" t="s">
        <v>337</v>
      </c>
      <c r="Y110" s="205"/>
      <c r="Z110" s="205"/>
      <c r="AA110" s="205"/>
      <c r="AB110" s="136"/>
      <c r="AC110" s="135">
        <v>2</v>
      </c>
      <c r="AD110" s="135">
        <v>2</v>
      </c>
      <c r="AE110" s="50">
        <v>20</v>
      </c>
      <c r="AF110" s="51">
        <v>3</v>
      </c>
      <c r="AG110" s="234"/>
      <c r="AH110">
        <f t="shared" si="1"/>
        <v>0</v>
      </c>
    </row>
    <row r="111" spans="1:34" ht="30" customHeight="1" x14ac:dyDescent="0.3">
      <c r="A111" s="156" t="s">
        <v>192</v>
      </c>
      <c r="B111" s="136" t="s">
        <v>450</v>
      </c>
      <c r="C111" s="205"/>
      <c r="D111" s="205"/>
      <c r="E111" s="205"/>
      <c r="F111" s="135">
        <v>0</v>
      </c>
      <c r="I111" s="113"/>
      <c r="L111" s="211" t="s">
        <v>193</v>
      </c>
      <c r="M111" s="301" t="s">
        <v>437</v>
      </c>
      <c r="N111" s="213" t="s">
        <v>524</v>
      </c>
      <c r="O111" s="213" t="s">
        <v>522</v>
      </c>
      <c r="P111" s="213" t="s">
        <v>525</v>
      </c>
      <c r="Q111" s="135">
        <v>8</v>
      </c>
      <c r="W111" s="211" t="s">
        <v>193</v>
      </c>
      <c r="X111" s="90" t="s">
        <v>207</v>
      </c>
      <c r="Y111" s="205"/>
      <c r="Z111" s="205"/>
      <c r="AA111" s="205"/>
      <c r="AB111" s="136"/>
      <c r="AC111" s="135">
        <v>8</v>
      </c>
      <c r="AD111" s="135"/>
      <c r="AE111" s="50">
        <v>3</v>
      </c>
      <c r="AF111" s="51">
        <v>1</v>
      </c>
      <c r="AG111" s="234"/>
      <c r="AH111">
        <f t="shared" si="1"/>
        <v>-8</v>
      </c>
    </row>
    <row r="112" spans="1:34" ht="30" customHeight="1" x14ac:dyDescent="0.3">
      <c r="A112" s="156" t="s">
        <v>193</v>
      </c>
      <c r="B112" s="136" t="s">
        <v>700</v>
      </c>
      <c r="C112" s="205" t="s">
        <v>521</v>
      </c>
      <c r="D112" s="205" t="s">
        <v>881</v>
      </c>
      <c r="E112" s="205" t="s">
        <v>523</v>
      </c>
      <c r="F112" s="135">
        <v>10</v>
      </c>
      <c r="I112" s="113"/>
      <c r="L112" s="211" t="s">
        <v>205</v>
      </c>
      <c r="M112" s="90" t="s">
        <v>796</v>
      </c>
      <c r="N112" s="213" t="s">
        <v>642</v>
      </c>
      <c r="O112" s="213"/>
      <c r="P112" s="213"/>
      <c r="Q112" s="135">
        <v>1</v>
      </c>
      <c r="W112" s="211" t="s">
        <v>205</v>
      </c>
      <c r="X112" s="90" t="s">
        <v>208</v>
      </c>
      <c r="Y112" s="205"/>
      <c r="Z112" s="205"/>
      <c r="AA112" s="205"/>
      <c r="AB112" s="136"/>
      <c r="AC112" s="135">
        <v>1</v>
      </c>
      <c r="AD112" s="135"/>
      <c r="AE112" s="50">
        <v>5</v>
      </c>
      <c r="AF112" s="51">
        <v>3</v>
      </c>
      <c r="AG112" s="190"/>
      <c r="AH112">
        <f t="shared" si="1"/>
        <v>-1</v>
      </c>
    </row>
    <row r="113" spans="1:34" ht="30" customHeight="1" x14ac:dyDescent="0.3">
      <c r="A113" s="156" t="s">
        <v>205</v>
      </c>
      <c r="B113" s="136" t="s">
        <v>437</v>
      </c>
      <c r="C113" s="205" t="s">
        <v>866</v>
      </c>
      <c r="D113" s="205" t="s">
        <v>867</v>
      </c>
      <c r="E113" s="205"/>
      <c r="F113" s="135">
        <v>5</v>
      </c>
      <c r="I113" s="113"/>
      <c r="L113" s="211" t="s">
        <v>206</v>
      </c>
      <c r="M113" s="90" t="s">
        <v>793</v>
      </c>
      <c r="N113" s="213"/>
      <c r="O113" s="213"/>
      <c r="P113" s="213"/>
      <c r="Q113" s="135">
        <v>0</v>
      </c>
      <c r="W113" s="211" t="s">
        <v>206</v>
      </c>
      <c r="X113" s="90" t="s">
        <v>209</v>
      </c>
      <c r="Y113" s="205" t="s">
        <v>422</v>
      </c>
      <c r="Z113" s="205" t="s">
        <v>423</v>
      </c>
      <c r="AA113" s="205" t="s">
        <v>424</v>
      </c>
      <c r="AB113" s="136"/>
      <c r="AC113" s="135">
        <v>0</v>
      </c>
      <c r="AD113" s="135"/>
      <c r="AE113" s="50">
        <v>1</v>
      </c>
      <c r="AF113" s="51"/>
      <c r="AG113" s="190"/>
      <c r="AH113">
        <f t="shared" si="1"/>
        <v>0</v>
      </c>
    </row>
    <row r="114" spans="1:34" ht="30" customHeight="1" x14ac:dyDescent="0.3">
      <c r="A114" s="156" t="s">
        <v>206</v>
      </c>
      <c r="B114" s="136" t="s">
        <v>701</v>
      </c>
      <c r="C114" s="205" t="s">
        <v>882</v>
      </c>
      <c r="D114" s="205"/>
      <c r="E114" s="205"/>
      <c r="F114" s="135">
        <v>1</v>
      </c>
      <c r="I114" s="113"/>
      <c r="L114" s="92" t="s">
        <v>438</v>
      </c>
      <c r="M114" s="202" t="s">
        <v>794</v>
      </c>
      <c r="N114" s="314"/>
      <c r="O114" s="314"/>
      <c r="P114" s="314"/>
      <c r="Q114" s="135">
        <v>0</v>
      </c>
      <c r="W114" s="92"/>
      <c r="X114" s="202"/>
      <c r="Y114" s="217"/>
      <c r="Z114" s="217"/>
      <c r="AA114" s="217"/>
      <c r="AB114" s="136"/>
      <c r="AC114" s="135">
        <v>0</v>
      </c>
      <c r="AD114" s="135">
        <v>4</v>
      </c>
      <c r="AE114" s="50">
        <v>5</v>
      </c>
      <c r="AF114" s="51"/>
      <c r="AG114" s="190"/>
      <c r="AH114">
        <f t="shared" si="1"/>
        <v>4</v>
      </c>
    </row>
    <row r="115" spans="1:34" s="84" customFormat="1" ht="30" customHeight="1" x14ac:dyDescent="0.3">
      <c r="A115" s="156" t="s">
        <v>438</v>
      </c>
      <c r="B115" s="136" t="s">
        <v>796</v>
      </c>
      <c r="C115" s="217"/>
      <c r="D115" s="217"/>
      <c r="E115" s="217"/>
      <c r="F115" s="135">
        <v>0</v>
      </c>
      <c r="G115"/>
      <c r="H115"/>
      <c r="I115" s="158"/>
      <c r="L115" s="85"/>
      <c r="M115" s="80"/>
      <c r="N115" s="315"/>
      <c r="O115" s="315"/>
      <c r="P115" s="315"/>
      <c r="Q115" s="282"/>
      <c r="R115"/>
      <c r="S115" s="158"/>
      <c r="T115" s="158"/>
      <c r="U115" s="158"/>
      <c r="W115" s="85"/>
      <c r="X115" s="111"/>
      <c r="Y115" s="221"/>
      <c r="Z115" s="221"/>
      <c r="AA115" s="221"/>
      <c r="AB115" s="136"/>
      <c r="AC115" s="282"/>
      <c r="AD115" s="135"/>
      <c r="AE115" s="50"/>
      <c r="AF115" s="51"/>
      <c r="AG115" s="190"/>
      <c r="AH115">
        <f t="shared" si="1"/>
        <v>0</v>
      </c>
    </row>
    <row r="116" spans="1:34" ht="30" customHeight="1" x14ac:dyDescent="0.3">
      <c r="A116" s="156" t="s">
        <v>702</v>
      </c>
      <c r="B116" s="136" t="s">
        <v>793</v>
      </c>
      <c r="C116" s="205"/>
      <c r="D116" s="205"/>
      <c r="E116" s="205"/>
      <c r="F116" s="282">
        <v>0</v>
      </c>
      <c r="I116" s="113"/>
      <c r="L116" s="85" t="s">
        <v>353</v>
      </c>
      <c r="M116" s="85" t="s">
        <v>254</v>
      </c>
      <c r="N116" s="316"/>
      <c r="O116" s="316"/>
      <c r="P116" s="316"/>
      <c r="Q116" s="224"/>
      <c r="W116" s="85" t="s">
        <v>353</v>
      </c>
      <c r="X116" s="86" t="s">
        <v>254</v>
      </c>
      <c r="Y116" s="218"/>
      <c r="Z116" s="218"/>
      <c r="AA116" s="218"/>
      <c r="AB116" s="136"/>
      <c r="AC116" s="282"/>
      <c r="AD116" s="135"/>
      <c r="AE116" s="50"/>
      <c r="AF116" s="248"/>
      <c r="AG116" s="240"/>
      <c r="AH116">
        <f t="shared" si="1"/>
        <v>0</v>
      </c>
    </row>
    <row r="117" spans="1:34" ht="30" customHeight="1" x14ac:dyDescent="0.3">
      <c r="A117" s="156" t="s">
        <v>703</v>
      </c>
      <c r="B117" s="136" t="s">
        <v>794</v>
      </c>
      <c r="C117" s="205"/>
      <c r="D117" s="205"/>
      <c r="E117" s="205"/>
      <c r="F117" s="224">
        <v>0</v>
      </c>
      <c r="I117" s="113"/>
      <c r="L117" s="211" t="s">
        <v>125</v>
      </c>
      <c r="M117" s="301" t="s">
        <v>227</v>
      </c>
      <c r="N117" s="213" t="s">
        <v>478</v>
      </c>
      <c r="O117" s="213" t="s">
        <v>514</v>
      </c>
      <c r="P117" s="213" t="s">
        <v>467</v>
      </c>
      <c r="Q117" s="135">
        <v>15</v>
      </c>
      <c r="W117" s="211" t="s">
        <v>125</v>
      </c>
      <c r="X117" s="90" t="s">
        <v>227</v>
      </c>
      <c r="Y117" s="205" t="s">
        <v>379</v>
      </c>
      <c r="Z117" s="205" t="s">
        <v>425</v>
      </c>
      <c r="AA117" s="205" t="s">
        <v>426</v>
      </c>
      <c r="AB117" s="136"/>
      <c r="AC117" s="224"/>
      <c r="AD117" s="223"/>
      <c r="AE117" s="50"/>
      <c r="AF117" s="248"/>
      <c r="AG117" s="241"/>
      <c r="AH117">
        <f t="shared" si="1"/>
        <v>0</v>
      </c>
    </row>
    <row r="118" spans="1:34" ht="30" customHeight="1" x14ac:dyDescent="0.3">
      <c r="A118" s="85"/>
      <c r="B118" s="111"/>
      <c r="C118" s="221"/>
      <c r="F118" s="135"/>
      <c r="I118" s="113"/>
      <c r="L118" s="211" t="s">
        <v>126</v>
      </c>
      <c r="M118" s="301" t="s">
        <v>211</v>
      </c>
      <c r="N118" s="213" t="s">
        <v>478</v>
      </c>
      <c r="O118" s="213" t="s">
        <v>458</v>
      </c>
      <c r="P118" s="213" t="s">
        <v>512</v>
      </c>
      <c r="Q118" s="135">
        <v>6</v>
      </c>
      <c r="W118" s="211" t="s">
        <v>126</v>
      </c>
      <c r="X118" s="90" t="s">
        <v>211</v>
      </c>
      <c r="Y118" s="205" t="s">
        <v>377</v>
      </c>
      <c r="Z118" s="205" t="s">
        <v>374</v>
      </c>
      <c r="AA118" s="205" t="s">
        <v>369</v>
      </c>
      <c r="AB118" s="136"/>
      <c r="AC118" s="135">
        <v>14</v>
      </c>
      <c r="AD118" s="135">
        <v>10</v>
      </c>
      <c r="AE118" s="71">
        <v>18</v>
      </c>
      <c r="AF118" s="248">
        <v>15</v>
      </c>
      <c r="AG118" s="9"/>
      <c r="AH118">
        <f t="shared" si="1"/>
        <v>-4</v>
      </c>
    </row>
    <row r="119" spans="1:34" s="84" customFormat="1" ht="30" customHeight="1" x14ac:dyDescent="0.3">
      <c r="A119" s="85" t="s">
        <v>353</v>
      </c>
      <c r="B119" s="86" t="s">
        <v>254</v>
      </c>
      <c r="C119" s="218"/>
      <c r="F119" s="135"/>
      <c r="G119"/>
      <c r="H119"/>
      <c r="I119" s="158"/>
      <c r="L119" s="92"/>
      <c r="M119" s="317"/>
      <c r="N119" s="314"/>
      <c r="O119" s="314"/>
      <c r="P119" s="314"/>
      <c r="Q119" s="135"/>
      <c r="R119"/>
      <c r="S119" s="158"/>
      <c r="T119" s="158"/>
      <c r="U119" s="158"/>
      <c r="W119" s="92"/>
      <c r="X119" s="202"/>
      <c r="Y119" s="217"/>
      <c r="Z119" s="217"/>
      <c r="AA119" s="217"/>
      <c r="AB119" s="136"/>
      <c r="AC119" s="135">
        <v>6</v>
      </c>
      <c r="AD119" s="135">
        <v>5</v>
      </c>
      <c r="AE119" s="71">
        <v>5</v>
      </c>
      <c r="AF119" s="51">
        <v>8</v>
      </c>
      <c r="AG119" s="190"/>
      <c r="AH119">
        <f t="shared" si="1"/>
        <v>-1</v>
      </c>
    </row>
    <row r="120" spans="1:34" ht="30" customHeight="1" x14ac:dyDescent="0.3">
      <c r="A120" s="211" t="s">
        <v>125</v>
      </c>
      <c r="B120" s="90" t="s">
        <v>227</v>
      </c>
      <c r="C120" s="205" t="s">
        <v>937</v>
      </c>
      <c r="D120" s="217" t="s">
        <v>907</v>
      </c>
      <c r="E120" s="217" t="s">
        <v>467</v>
      </c>
      <c r="F120" s="135"/>
      <c r="I120" s="113"/>
      <c r="L120" s="85" t="s">
        <v>354</v>
      </c>
      <c r="M120" s="85" t="s">
        <v>255</v>
      </c>
      <c r="N120" s="316"/>
      <c r="O120" s="316"/>
      <c r="P120" s="316"/>
      <c r="Q120" s="224"/>
      <c r="W120" s="85" t="s">
        <v>354</v>
      </c>
      <c r="X120" s="85" t="s">
        <v>255</v>
      </c>
      <c r="Y120" s="218"/>
      <c r="Z120" s="218"/>
      <c r="AA120" s="218"/>
      <c r="AB120" s="136"/>
      <c r="AC120" s="135"/>
      <c r="AD120" s="135"/>
      <c r="AE120" s="71"/>
      <c r="AF120" s="51"/>
      <c r="AG120" s="190"/>
      <c r="AH120">
        <f t="shared" si="1"/>
        <v>0</v>
      </c>
    </row>
    <row r="121" spans="1:34" ht="30" customHeight="1" x14ac:dyDescent="0.3">
      <c r="A121" s="211" t="s">
        <v>126</v>
      </c>
      <c r="B121" s="90" t="s">
        <v>211</v>
      </c>
      <c r="C121" s="205" t="s">
        <v>465</v>
      </c>
      <c r="D121" s="218" t="s">
        <v>466</v>
      </c>
      <c r="E121" s="218" t="s">
        <v>947</v>
      </c>
      <c r="F121" s="224">
        <v>4</v>
      </c>
      <c r="I121" s="113"/>
      <c r="L121" s="211" t="s">
        <v>127</v>
      </c>
      <c r="M121" s="318" t="s">
        <v>451</v>
      </c>
      <c r="N121" s="213" t="s">
        <v>465</v>
      </c>
      <c r="O121" s="319" t="s">
        <v>356</v>
      </c>
      <c r="P121" s="213"/>
      <c r="Q121" s="135">
        <v>1</v>
      </c>
      <c r="W121" s="211" t="s">
        <v>127</v>
      </c>
      <c r="X121" s="90" t="s">
        <v>358</v>
      </c>
      <c r="Y121" s="205" t="s">
        <v>381</v>
      </c>
      <c r="Z121" s="219" t="s">
        <v>370</v>
      </c>
      <c r="AA121" s="205" t="s">
        <v>372</v>
      </c>
      <c r="AB121" s="136"/>
      <c r="AC121" s="224"/>
      <c r="AD121" s="223"/>
      <c r="AE121" s="50"/>
      <c r="AF121" s="51"/>
      <c r="AG121" s="190"/>
      <c r="AH121">
        <f t="shared" si="1"/>
        <v>0</v>
      </c>
    </row>
    <row r="122" spans="1:34" ht="30" customHeight="1" x14ac:dyDescent="0.3">
      <c r="A122" s="92"/>
      <c r="B122" s="202"/>
      <c r="C122" s="217"/>
      <c r="D122" s="219" t="s">
        <v>356</v>
      </c>
      <c r="E122" s="205"/>
      <c r="F122" s="135"/>
      <c r="I122" s="113"/>
      <c r="L122" s="226" t="s">
        <v>128</v>
      </c>
      <c r="M122" s="320" t="s">
        <v>538</v>
      </c>
      <c r="N122" s="304" t="s">
        <v>479</v>
      </c>
      <c r="O122" s="321" t="s">
        <v>537</v>
      </c>
      <c r="P122" s="304" t="s">
        <v>518</v>
      </c>
      <c r="Q122" s="135">
        <v>3</v>
      </c>
      <c r="W122" s="226" t="s">
        <v>128</v>
      </c>
      <c r="X122" s="98" t="s">
        <v>357</v>
      </c>
      <c r="Y122" s="207" t="s">
        <v>396</v>
      </c>
      <c r="Z122" s="220" t="s">
        <v>356</v>
      </c>
      <c r="AA122" s="207"/>
      <c r="AB122" s="136"/>
      <c r="AC122" s="135">
        <v>1</v>
      </c>
      <c r="AD122" s="135">
        <v>5</v>
      </c>
      <c r="AE122" s="50">
        <v>2</v>
      </c>
      <c r="AF122" s="51">
        <v>3</v>
      </c>
      <c r="AG122" s="190"/>
      <c r="AH122">
        <f t="shared" si="1"/>
        <v>4</v>
      </c>
    </row>
    <row r="123" spans="1:34" ht="38.1" customHeight="1" x14ac:dyDescent="0.3">
      <c r="A123" s="85" t="s">
        <v>354</v>
      </c>
      <c r="B123" s="86" t="s">
        <v>255</v>
      </c>
      <c r="C123" s="218"/>
      <c r="D123" s="220" t="s">
        <v>356</v>
      </c>
      <c r="E123" s="207"/>
      <c r="F123" s="135"/>
      <c r="I123" s="113"/>
      <c r="L123" s="211" t="s">
        <v>129</v>
      </c>
      <c r="M123" s="318" t="s">
        <v>539</v>
      </c>
      <c r="N123" s="213" t="s">
        <v>478</v>
      </c>
      <c r="O123" s="213" t="s">
        <v>520</v>
      </c>
      <c r="P123" s="213" t="s">
        <v>526</v>
      </c>
      <c r="Q123" s="135">
        <v>7</v>
      </c>
      <c r="W123" s="211" t="s">
        <v>129</v>
      </c>
      <c r="X123" s="90" t="s">
        <v>359</v>
      </c>
      <c r="Y123" s="205" t="s">
        <v>394</v>
      </c>
      <c r="Z123" s="205" t="s">
        <v>409</v>
      </c>
      <c r="AA123" s="205" t="s">
        <v>427</v>
      </c>
      <c r="AB123" s="136"/>
      <c r="AC123" s="135">
        <v>3</v>
      </c>
      <c r="AD123" s="135">
        <v>1</v>
      </c>
      <c r="AE123" s="50">
        <v>3</v>
      </c>
      <c r="AF123" s="246">
        <v>3</v>
      </c>
      <c r="AH123">
        <f t="shared" si="1"/>
        <v>-2</v>
      </c>
    </row>
    <row r="124" spans="1:34" x14ac:dyDescent="0.3">
      <c r="A124" s="156" t="s">
        <v>127</v>
      </c>
      <c r="B124" s="359" t="s">
        <v>699</v>
      </c>
      <c r="C124" s="205" t="s">
        <v>465</v>
      </c>
      <c r="D124" s="205" t="s">
        <v>495</v>
      </c>
      <c r="E124" s="205"/>
      <c r="F124" s="135">
        <v>2</v>
      </c>
      <c r="I124" s="113"/>
      <c r="L124" s="85"/>
      <c r="M124" s="80"/>
      <c r="N124" s="315"/>
      <c r="O124" s="315"/>
      <c r="P124" s="315"/>
      <c r="Q124" s="135"/>
      <c r="W124" s="110"/>
      <c r="X124" s="110"/>
      <c r="Y124" s="110"/>
      <c r="Z124" s="110"/>
      <c r="AA124" s="110"/>
      <c r="AB124" s="136"/>
      <c r="AC124" s="135">
        <v>7</v>
      </c>
      <c r="AD124" s="135">
        <v>10</v>
      </c>
      <c r="AE124" s="50">
        <v>9</v>
      </c>
      <c r="AF124" s="246">
        <v>13</v>
      </c>
      <c r="AH124">
        <f t="shared" si="1"/>
        <v>3</v>
      </c>
    </row>
    <row r="125" spans="1:34" s="84" customFormat="1" x14ac:dyDescent="0.3">
      <c r="A125" s="156" t="s">
        <v>128</v>
      </c>
      <c r="B125" s="359" t="s">
        <v>538</v>
      </c>
      <c r="C125" s="207" t="s">
        <v>469</v>
      </c>
      <c r="D125" s="205"/>
      <c r="E125" s="205"/>
      <c r="F125" s="135">
        <v>1</v>
      </c>
      <c r="H125"/>
      <c r="I125" s="158"/>
      <c r="L125" s="85"/>
      <c r="M125" s="80"/>
      <c r="N125" s="315"/>
      <c r="O125" s="315"/>
      <c r="P125" s="315"/>
      <c r="Q125" s="135">
        <f>SUM(Q4:Q123)</f>
        <v>398</v>
      </c>
      <c r="S125" s="158"/>
      <c r="T125" s="158"/>
      <c r="U125" s="158"/>
      <c r="W125" s="110"/>
      <c r="X125" s="110"/>
      <c r="Y125" s="110"/>
      <c r="Z125" s="110"/>
      <c r="AA125" s="110"/>
      <c r="AB125" s="136"/>
      <c r="AC125" s="136"/>
      <c r="AD125" s="113"/>
      <c r="AE125"/>
      <c r="AF125" s="66"/>
      <c r="AG125"/>
    </row>
    <row r="126" spans="1:34" ht="31.2" x14ac:dyDescent="0.3">
      <c r="A126" s="156" t="s">
        <v>129</v>
      </c>
      <c r="B126" s="359" t="s">
        <v>698</v>
      </c>
      <c r="C126" s="205" t="s">
        <v>478</v>
      </c>
      <c r="D126" s="205" t="s">
        <v>463</v>
      </c>
      <c r="E126" s="205" t="s">
        <v>884</v>
      </c>
      <c r="F126" s="135">
        <v>3</v>
      </c>
      <c r="L126" s="201"/>
      <c r="M126" s="3"/>
      <c r="N126" s="201"/>
      <c r="O126" s="201"/>
      <c r="P126" s="201"/>
      <c r="Q126" s="225"/>
      <c r="W126" s="3"/>
      <c r="X126" s="3"/>
      <c r="Y126" s="3"/>
      <c r="Z126" s="3"/>
      <c r="AA126" s="3"/>
      <c r="AB126" s="111"/>
      <c r="AC126" s="111"/>
    </row>
    <row r="127" spans="1:34" x14ac:dyDescent="0.3">
      <c r="A127" s="85"/>
      <c r="B127" s="111"/>
      <c r="C127" s="221"/>
      <c r="F127" s="135">
        <f>SUM(F6:F126)</f>
        <v>290</v>
      </c>
      <c r="L127" s="85"/>
      <c r="M127" s="322"/>
      <c r="N127" s="85"/>
      <c r="O127" s="85"/>
      <c r="P127" s="85"/>
      <c r="W127" s="175"/>
      <c r="X127" s="175"/>
      <c r="Y127" s="175"/>
      <c r="Z127" s="175"/>
      <c r="AA127" s="175"/>
      <c r="AB127" s="111"/>
      <c r="AC127" s="111">
        <f>SUM(AC4:AC124)</f>
        <v>396</v>
      </c>
      <c r="AD127" s="111">
        <f t="shared" ref="AD127:AF127" si="2">SUM(AD4:AD124)</f>
        <v>310</v>
      </c>
      <c r="AE127" s="111">
        <f t="shared" si="2"/>
        <v>403</v>
      </c>
      <c r="AF127" s="111">
        <f t="shared" si="2"/>
        <v>282</v>
      </c>
    </row>
    <row r="128" spans="1:34" x14ac:dyDescent="0.3">
      <c r="A128" s="85"/>
      <c r="B128" s="111"/>
      <c r="C128" s="221"/>
      <c r="L128" s="85"/>
      <c r="M128" s="323"/>
      <c r="N128" s="324"/>
      <c r="O128" s="85"/>
      <c r="P128" s="85"/>
      <c r="W128" s="192"/>
      <c r="X128" s="175"/>
      <c r="Y128" s="175"/>
      <c r="Z128" s="175"/>
      <c r="AA128" s="175"/>
      <c r="AB128" s="250"/>
      <c r="AC128" s="111"/>
    </row>
    <row r="129" spans="12:29" x14ac:dyDescent="0.3">
      <c r="L129" s="85"/>
      <c r="M129" s="323"/>
      <c r="N129" s="324"/>
      <c r="O129" s="85"/>
      <c r="P129" s="85"/>
      <c r="W129" s="192"/>
      <c r="X129" s="175"/>
      <c r="Y129" s="175"/>
      <c r="Z129" s="175"/>
      <c r="AA129" s="175"/>
      <c r="AB129" s="191"/>
      <c r="AC129" s="250"/>
    </row>
    <row r="130" spans="12:29" x14ac:dyDescent="0.3">
      <c r="L130" s="229"/>
      <c r="M130" s="322"/>
      <c r="N130" s="201"/>
      <c r="O130" s="201"/>
      <c r="P130" s="201"/>
      <c r="W130" s="200"/>
      <c r="X130" s="200"/>
      <c r="Y130" s="200"/>
      <c r="Z130" s="200"/>
      <c r="AA130" s="200"/>
      <c r="AB130" s="249"/>
      <c r="AC130" s="191"/>
    </row>
    <row r="131" spans="12:29" x14ac:dyDescent="0.3">
      <c r="L131" s="229"/>
      <c r="M131" s="323"/>
      <c r="N131" s="315"/>
      <c r="O131" s="315"/>
      <c r="P131" s="315"/>
      <c r="W131" s="110"/>
      <c r="X131" s="110"/>
      <c r="Y131" s="110"/>
      <c r="Z131" s="110"/>
      <c r="AA131" s="110"/>
      <c r="AB131" s="249"/>
      <c r="AC131" s="249"/>
    </row>
    <row r="132" spans="12:29" x14ac:dyDescent="0.3">
      <c r="L132" s="229"/>
      <c r="M132" s="323"/>
      <c r="N132" s="80"/>
      <c r="O132" s="315"/>
      <c r="P132" s="315"/>
      <c r="W132" s="44"/>
      <c r="X132" s="110"/>
      <c r="Y132" s="110"/>
      <c r="Z132" s="110"/>
      <c r="AA132" s="110"/>
      <c r="AB132" s="191"/>
      <c r="AC132" s="249"/>
    </row>
    <row r="133" spans="12:29" x14ac:dyDescent="0.3">
      <c r="L133" s="85"/>
      <c r="M133" s="322"/>
      <c r="N133" s="201"/>
      <c r="O133" s="315"/>
      <c r="P133" s="315"/>
      <c r="W133" s="201"/>
      <c r="X133" s="110"/>
      <c r="Y133" s="110"/>
      <c r="Z133" s="110"/>
      <c r="AA133" s="110"/>
      <c r="AB133" s="249"/>
      <c r="AC133" s="191"/>
    </row>
    <row r="134" spans="12:29" x14ac:dyDescent="0.3">
      <c r="L134" s="85"/>
      <c r="M134" s="323"/>
      <c r="N134" s="324"/>
      <c r="O134" s="315"/>
      <c r="P134" s="315"/>
      <c r="W134" s="192"/>
      <c r="X134" s="110"/>
      <c r="Y134" s="110"/>
      <c r="Z134" s="110"/>
      <c r="AA134" s="110"/>
      <c r="AB134" s="249"/>
      <c r="AC134" s="249"/>
    </row>
    <row r="135" spans="12:29" x14ac:dyDescent="0.3">
      <c r="L135" s="85"/>
      <c r="M135" s="323"/>
      <c r="N135" s="324"/>
      <c r="O135" s="315"/>
      <c r="P135" s="315"/>
      <c r="W135" s="192"/>
      <c r="X135" s="110"/>
      <c r="Y135" s="110"/>
      <c r="Z135" s="110"/>
      <c r="AA135" s="110"/>
      <c r="AB135" s="191"/>
      <c r="AC135" s="249"/>
    </row>
    <row r="136" spans="12:29" x14ac:dyDescent="0.3">
      <c r="L136" s="85"/>
      <c r="M136" s="322"/>
      <c r="N136" s="316"/>
      <c r="O136" s="316"/>
      <c r="P136" s="316"/>
      <c r="W136" s="194"/>
      <c r="X136" s="194"/>
      <c r="Y136" s="194"/>
      <c r="Z136" s="194"/>
      <c r="AA136" s="194"/>
      <c r="AB136" s="249"/>
      <c r="AC136" s="191"/>
    </row>
    <row r="137" spans="12:29" x14ac:dyDescent="0.3">
      <c r="L137" s="85"/>
      <c r="M137" s="323"/>
      <c r="N137" s="315"/>
      <c r="O137" s="315"/>
      <c r="P137" s="315"/>
      <c r="W137" s="110"/>
      <c r="X137" s="110"/>
      <c r="Y137" s="110"/>
      <c r="Z137" s="110"/>
      <c r="AA137" s="110"/>
      <c r="AB137" s="249"/>
      <c r="AC137" s="249"/>
    </row>
    <row r="138" spans="12:29" x14ac:dyDescent="0.3">
      <c r="L138" s="85"/>
      <c r="M138" s="323"/>
      <c r="N138" s="315"/>
      <c r="O138" s="315"/>
      <c r="P138" s="315"/>
      <c r="W138" s="110"/>
      <c r="X138" s="110"/>
      <c r="Y138" s="110"/>
      <c r="Z138" s="110"/>
      <c r="AA138" s="110"/>
      <c r="AB138" s="191"/>
      <c r="AC138" s="249"/>
    </row>
    <row r="139" spans="12:29" x14ac:dyDescent="0.3">
      <c r="L139" s="85"/>
      <c r="M139" s="322"/>
      <c r="N139" s="85"/>
      <c r="O139" s="315"/>
      <c r="P139" s="315"/>
      <c r="W139" s="195"/>
      <c r="X139" s="110"/>
      <c r="Y139" s="110"/>
      <c r="Z139" s="110"/>
      <c r="AA139" s="110"/>
      <c r="AB139" s="249"/>
      <c r="AC139" s="191"/>
    </row>
    <row r="140" spans="12:29" x14ac:dyDescent="0.3">
      <c r="L140" s="85"/>
      <c r="M140" s="323"/>
      <c r="N140" s="315"/>
      <c r="O140" s="315"/>
      <c r="P140" s="315"/>
      <c r="W140" s="110"/>
      <c r="X140" s="110"/>
      <c r="Y140" s="110"/>
      <c r="Z140" s="110"/>
      <c r="AA140" s="110"/>
      <c r="AB140" s="249"/>
      <c r="AC140" s="249"/>
    </row>
    <row r="141" spans="12:29" x14ac:dyDescent="0.3">
      <c r="L141" s="85"/>
      <c r="M141" s="323"/>
      <c r="O141" s="315"/>
      <c r="P141" s="315"/>
      <c r="W141" s="196"/>
      <c r="X141" s="110"/>
      <c r="Y141" s="110"/>
      <c r="Z141" s="110"/>
      <c r="AA141" s="110"/>
      <c r="AB141" s="191"/>
      <c r="AC141" s="249"/>
    </row>
    <row r="142" spans="12:29" x14ac:dyDescent="0.3">
      <c r="L142" s="85"/>
      <c r="M142" s="322"/>
      <c r="N142" s="85"/>
      <c r="O142" s="315"/>
      <c r="P142" s="315"/>
      <c r="W142" s="195"/>
      <c r="X142" s="110"/>
      <c r="Y142" s="110"/>
      <c r="Z142" s="110"/>
      <c r="AA142" s="110"/>
      <c r="AB142" s="249"/>
      <c r="AC142" s="191"/>
    </row>
    <row r="143" spans="12:29" x14ac:dyDescent="0.3">
      <c r="L143" s="85"/>
      <c r="M143" s="323"/>
      <c r="N143" s="324"/>
      <c r="O143" s="315"/>
      <c r="P143" s="315"/>
      <c r="W143" s="192"/>
      <c r="X143" s="110"/>
      <c r="Y143" s="110"/>
      <c r="Z143" s="110"/>
      <c r="AA143" s="110"/>
      <c r="AB143" s="249"/>
      <c r="AC143" s="249"/>
    </row>
    <row r="144" spans="12:29" x14ac:dyDescent="0.3">
      <c r="L144" s="85"/>
      <c r="M144" s="322"/>
      <c r="N144" s="325"/>
      <c r="O144" s="315"/>
      <c r="P144" s="315"/>
      <c r="W144" s="197"/>
      <c r="X144" s="110"/>
      <c r="Y144" s="110"/>
      <c r="Z144" s="110"/>
      <c r="AA144" s="110"/>
      <c r="AB144" s="191"/>
      <c r="AC144" s="249"/>
    </row>
    <row r="145" spans="12:29" x14ac:dyDescent="0.3">
      <c r="L145" s="85"/>
      <c r="M145" s="323"/>
      <c r="N145" s="324"/>
      <c r="O145" s="315"/>
      <c r="P145" s="315"/>
      <c r="W145" s="192"/>
      <c r="X145" s="110"/>
      <c r="Y145" s="110"/>
      <c r="Z145" s="110"/>
      <c r="AA145" s="110"/>
      <c r="AB145" s="249"/>
      <c r="AC145" s="191"/>
    </row>
    <row r="146" spans="12:29" x14ac:dyDescent="0.3">
      <c r="L146" s="85"/>
      <c r="M146" s="322"/>
      <c r="N146" s="186"/>
      <c r="O146" s="315"/>
      <c r="P146" s="315"/>
      <c r="W146" s="87"/>
      <c r="X146" s="110"/>
      <c r="Y146" s="110"/>
      <c r="Z146" s="110"/>
      <c r="AA146" s="110"/>
      <c r="AB146" s="191"/>
      <c r="AC146" s="249"/>
    </row>
    <row r="147" spans="12:29" x14ac:dyDescent="0.3">
      <c r="L147" s="85"/>
      <c r="M147" s="323"/>
      <c r="N147" s="326"/>
      <c r="O147" s="315"/>
      <c r="P147" s="315"/>
      <c r="W147" s="198"/>
      <c r="X147" s="110"/>
      <c r="Y147" s="110"/>
      <c r="Z147" s="110"/>
      <c r="AA147" s="110"/>
      <c r="AB147" s="249"/>
      <c r="AC147" s="191"/>
    </row>
    <row r="148" spans="12:29" x14ac:dyDescent="0.3">
      <c r="L148" s="85"/>
      <c r="M148" s="323"/>
      <c r="N148" s="327"/>
      <c r="O148" s="315"/>
      <c r="P148" s="315"/>
      <c r="W148" s="199"/>
      <c r="X148" s="110"/>
      <c r="Y148" s="110"/>
      <c r="Z148" s="110"/>
      <c r="AA148" s="110"/>
      <c r="AB148" s="191"/>
      <c r="AC148" s="249"/>
    </row>
    <row r="149" spans="12:29" x14ac:dyDescent="0.3">
      <c r="L149" s="85"/>
      <c r="M149" s="322"/>
      <c r="N149" s="186"/>
      <c r="O149" s="315"/>
      <c r="P149" s="315"/>
      <c r="W149" s="53"/>
      <c r="X149" s="110"/>
      <c r="Y149" s="110"/>
      <c r="Z149" s="110"/>
      <c r="AA149" s="110"/>
      <c r="AB149" s="249"/>
      <c r="AC149" s="191"/>
    </row>
    <row r="150" spans="12:29" x14ac:dyDescent="0.3">
      <c r="L150" s="85"/>
      <c r="M150" s="323"/>
      <c r="N150" s="328"/>
      <c r="O150" s="315"/>
      <c r="P150" s="315"/>
      <c r="W150" s="193"/>
      <c r="X150" s="110"/>
      <c r="Y150" s="110"/>
      <c r="Z150" s="110"/>
      <c r="AA150" s="110"/>
      <c r="AB150" s="249"/>
      <c r="AC150" s="249"/>
    </row>
    <row r="151" spans="12:29" ht="24" customHeight="1" x14ac:dyDescent="0.3">
      <c r="L151" s="85"/>
      <c r="M151" s="323"/>
      <c r="N151" s="315"/>
      <c r="O151" s="315"/>
      <c r="P151" s="315"/>
      <c r="W151" s="110"/>
      <c r="X151" s="110"/>
      <c r="Y151" s="110"/>
      <c r="Z151" s="110"/>
      <c r="AA151" s="110"/>
      <c r="AB151" s="191"/>
      <c r="AC151" s="249"/>
    </row>
    <row r="152" spans="12:29" x14ac:dyDescent="0.3">
      <c r="L152" s="85"/>
      <c r="M152" s="322"/>
      <c r="N152" s="85"/>
      <c r="O152" s="315"/>
      <c r="P152" s="315"/>
      <c r="W152" s="195"/>
      <c r="X152" s="110"/>
      <c r="Y152" s="110"/>
      <c r="Z152" s="110"/>
      <c r="AA152" s="110"/>
      <c r="AB152" s="249"/>
      <c r="AC152" s="191"/>
    </row>
    <row r="153" spans="12:29" x14ac:dyDescent="0.3">
      <c r="L153" s="85"/>
      <c r="M153" s="323"/>
      <c r="N153" s="315"/>
      <c r="O153" s="315"/>
      <c r="P153" s="315"/>
      <c r="W153" s="110"/>
      <c r="X153" s="110"/>
      <c r="Y153" s="110"/>
      <c r="Z153" s="110"/>
      <c r="AA153" s="110"/>
      <c r="AB153" s="249"/>
      <c r="AC153" s="249"/>
    </row>
    <row r="154" spans="12:29" x14ac:dyDescent="0.3">
      <c r="L154" s="85"/>
      <c r="M154" s="323"/>
      <c r="N154" s="315"/>
      <c r="O154" s="315"/>
      <c r="P154" s="315"/>
      <c r="W154" s="110"/>
      <c r="X154" s="110"/>
      <c r="Y154" s="110"/>
      <c r="Z154" s="110"/>
      <c r="AA154" s="110"/>
      <c r="AB154" s="191"/>
      <c r="AC154" s="249"/>
    </row>
    <row r="155" spans="12:29" x14ac:dyDescent="0.3">
      <c r="AB155" s="249"/>
      <c r="AC155" s="191"/>
    </row>
    <row r="156" spans="12:29" x14ac:dyDescent="0.3">
      <c r="AB156" s="249"/>
      <c r="AC156" s="249"/>
    </row>
    <row r="157" spans="12:29" x14ac:dyDescent="0.3">
      <c r="AC157" s="249"/>
    </row>
  </sheetData>
  <customSheetViews>
    <customSheetView guid="{468281ED-4ADC-4BB5-9EE5-E9016B5EB30D}" scale="76" fitToPage="1">
      <selection activeCell="B1" sqref="B1:E1048576"/>
      <rowBreaks count="4" manualBreakCount="4">
        <brk id="28" min="11" max="16" man="1"/>
        <brk id="57" min="11" max="16" man="1"/>
        <brk id="82" min="11" max="16" man="1"/>
        <brk id="105" min="11" max="16" man="1"/>
      </rowBreaks>
      <pageMargins left="0.70866141732283472" right="0.70866141732283472" top="0.74803149606299213" bottom="0.74803149606299213" header="0.31496062992125984" footer="0.31496062992125984"/>
      <pageSetup paperSize="9" scale="81" fitToHeight="0" orientation="portrait" horizontalDpi="4294967294" r:id="rId1"/>
      <headerFooter>
        <oddHeader>&amp;C&amp;"-,Bold"&amp;14Badenoch Gardening Club 2018 Show
Class Prizes</oddHeader>
      </headerFooter>
    </customSheetView>
  </customSheetViews>
  <mergeCells count="1">
    <mergeCell ref="N1:P1"/>
  </mergeCells>
  <pageMargins left="0.70866141732283472" right="0.70866141732283472" top="0.74803149606299213" bottom="0.74803149606299213" header="0.31496062992125984" footer="0.31496062992125984"/>
  <pageSetup paperSize="9" scale="81" fitToHeight="0" orientation="portrait" horizontalDpi="4294967294" r:id="rId2"/>
  <headerFooter>
    <oddHeader>&amp;C&amp;"-,Bold"&amp;14Badenoch Gardening Club 2018 Show
Class Prizes</oddHeader>
  </headerFooter>
  <rowBreaks count="4" manualBreakCount="4">
    <brk id="28" min="11" max="16" man="1"/>
    <brk id="57" min="11" max="16" man="1"/>
    <brk id="82" min="11" max="16" man="1"/>
    <brk id="105" min="11" max="16" man="1"/>
  </row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E8BC87-4A66-4925-8F64-08502255CFA7}">
  <dimension ref="A1"/>
  <sheetViews>
    <sheetView workbookViewId="0">
      <selection activeCell="M18" sqref="M18"/>
    </sheetView>
  </sheetViews>
  <sheetFormatPr defaultRowHeight="14.4" x14ac:dyDescent="0.3"/>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veg_sheet">
    <pageSetUpPr fitToPage="1"/>
  </sheetPr>
  <dimension ref="A1:AP45"/>
  <sheetViews>
    <sheetView zoomScale="150" zoomScaleNormal="150" zoomScaleSheetLayoutView="120" workbookViewId="0">
      <pane ySplit="2" topLeftCell="A22" activePane="bottomLeft" state="frozen"/>
      <selection pane="bottomLeft" activeCell="F27" sqref="F27"/>
    </sheetView>
  </sheetViews>
  <sheetFormatPr defaultColWidth="9.109375" defaultRowHeight="15.6" x14ac:dyDescent="0.3"/>
  <cols>
    <col min="1" max="1" width="4.109375" style="17" customWidth="1"/>
    <col min="2" max="2" width="5" style="5" customWidth="1"/>
    <col min="3" max="3" width="16.44140625" style="6" customWidth="1"/>
    <col min="4" max="6" width="18.5546875" style="1" customWidth="1"/>
    <col min="7" max="7" width="1.44140625" style="17" customWidth="1"/>
    <col min="8" max="8" width="5" style="1" customWidth="1"/>
    <col min="9" max="9" width="3.88671875" style="1" customWidth="1"/>
    <col min="10" max="10" width="24.109375" style="8" customWidth="1"/>
    <col min="11" max="14" width="18.5546875" style="1" customWidth="1"/>
    <col min="15" max="16384" width="9.109375" style="1"/>
  </cols>
  <sheetData>
    <row r="1" spans="1:14" s="175" customFormat="1" ht="30" hidden="1" customHeight="1" x14ac:dyDescent="0.3">
      <c r="A1" s="39"/>
      <c r="B1" s="31" t="s">
        <v>41</v>
      </c>
      <c r="C1" s="24"/>
      <c r="D1" s="39"/>
      <c r="E1" s="334"/>
      <c r="F1" s="335" t="s">
        <v>667</v>
      </c>
      <c r="G1" s="174"/>
      <c r="H1" s="39"/>
      <c r="I1" s="39"/>
      <c r="J1" s="186"/>
      <c r="K1" s="39"/>
      <c r="L1" s="39"/>
      <c r="M1" s="39"/>
      <c r="N1" s="39"/>
    </row>
    <row r="2" spans="1:14" s="4" customFormat="1" ht="30.75" customHeight="1" x14ac:dyDescent="0.3">
      <c r="A2" s="22"/>
      <c r="B2" s="419" t="s">
        <v>0</v>
      </c>
      <c r="C2" s="429"/>
      <c r="D2" s="53" t="s">
        <v>1</v>
      </c>
      <c r="E2" s="53" t="s">
        <v>2</v>
      </c>
      <c r="F2" s="53" t="s">
        <v>3</v>
      </c>
      <c r="G2" s="69"/>
      <c r="H2" s="189" t="s">
        <v>134</v>
      </c>
      <c r="I2" s="189"/>
      <c r="J2" s="173"/>
      <c r="K2" s="336"/>
      <c r="L2" s="337"/>
      <c r="M2" s="22"/>
      <c r="N2" s="22"/>
    </row>
    <row r="3" spans="1:14" ht="24.75" customHeight="1" x14ac:dyDescent="0.3">
      <c r="A3" s="43"/>
      <c r="B3" s="19" t="s">
        <v>186</v>
      </c>
      <c r="C3" s="432" t="s">
        <v>145</v>
      </c>
      <c r="D3" s="49" t="s">
        <v>809</v>
      </c>
      <c r="E3" s="49" t="s">
        <v>783</v>
      </c>
      <c r="F3" s="49" t="s">
        <v>8</v>
      </c>
      <c r="G3" s="56"/>
      <c r="H3" s="434">
        <v>5</v>
      </c>
      <c r="I3" s="256"/>
      <c r="J3" s="477"/>
      <c r="K3" s="22"/>
      <c r="L3" s="17"/>
      <c r="M3" s="17"/>
      <c r="N3" s="17"/>
    </row>
    <row r="4" spans="1:14" ht="24.75" customHeight="1" x14ac:dyDescent="0.3">
      <c r="A4" s="43"/>
      <c r="B4" s="19" t="s">
        <v>19</v>
      </c>
      <c r="C4" s="432" t="s">
        <v>14</v>
      </c>
      <c r="D4" s="49" t="s">
        <v>8</v>
      </c>
      <c r="E4" s="49" t="s">
        <v>8</v>
      </c>
      <c r="F4" s="49" t="s">
        <v>783</v>
      </c>
      <c r="G4" s="56"/>
      <c r="H4" s="434">
        <v>3</v>
      </c>
      <c r="I4" s="256"/>
      <c r="J4" s="477"/>
      <c r="K4" s="17"/>
      <c r="L4" s="17"/>
      <c r="M4" s="17"/>
      <c r="N4" s="17"/>
    </row>
    <row r="5" spans="1:14" ht="24.75" customHeight="1" x14ac:dyDescent="0.3">
      <c r="A5" s="43"/>
      <c r="B5" s="19" t="s">
        <v>20</v>
      </c>
      <c r="C5" s="432" t="s">
        <v>15</v>
      </c>
      <c r="D5" s="49" t="s">
        <v>185</v>
      </c>
      <c r="E5" s="49" t="s">
        <v>8</v>
      </c>
      <c r="F5" s="49" t="s">
        <v>783</v>
      </c>
      <c r="G5" s="56"/>
      <c r="H5" s="434">
        <v>4</v>
      </c>
      <c r="I5" s="256"/>
      <c r="J5" s="477"/>
      <c r="K5" s="17"/>
      <c r="L5" s="17"/>
      <c r="M5" s="17"/>
      <c r="N5" s="17"/>
    </row>
    <row r="6" spans="1:14" ht="24.75" customHeight="1" x14ac:dyDescent="0.3">
      <c r="A6" s="43"/>
      <c r="B6" s="19" t="s">
        <v>21</v>
      </c>
      <c r="C6" s="432" t="s">
        <v>146</v>
      </c>
      <c r="D6" s="49" t="s">
        <v>143</v>
      </c>
      <c r="E6" s="49"/>
      <c r="F6" s="49"/>
      <c r="G6" s="56"/>
      <c r="H6" s="434">
        <v>1</v>
      </c>
      <c r="I6" s="256"/>
      <c r="J6" s="477"/>
      <c r="K6" s="17"/>
      <c r="L6" s="48"/>
      <c r="M6" s="17"/>
      <c r="N6" s="17"/>
    </row>
    <row r="7" spans="1:14" ht="24.75" customHeight="1" x14ac:dyDescent="0.3">
      <c r="A7" s="43"/>
      <c r="B7" s="19" t="s">
        <v>22</v>
      </c>
      <c r="C7" s="432" t="s">
        <v>16</v>
      </c>
      <c r="D7" s="49" t="s">
        <v>8</v>
      </c>
      <c r="E7" s="49" t="s">
        <v>185</v>
      </c>
      <c r="F7" s="49" t="s">
        <v>8</v>
      </c>
      <c r="G7" s="56"/>
      <c r="H7" s="434">
        <v>4</v>
      </c>
      <c r="I7" s="256"/>
      <c r="J7" s="477"/>
      <c r="K7" s="17"/>
      <c r="L7" s="17"/>
      <c r="M7" s="17"/>
      <c r="N7" s="17"/>
    </row>
    <row r="8" spans="1:14" ht="24.9" customHeight="1" x14ac:dyDescent="0.3">
      <c r="A8" s="43"/>
      <c r="B8" s="19" t="s">
        <v>23</v>
      </c>
      <c r="C8" s="432" t="s">
        <v>17</v>
      </c>
      <c r="D8" s="49"/>
      <c r="E8" s="49"/>
      <c r="F8" s="49"/>
      <c r="G8" s="56"/>
      <c r="H8" s="434">
        <v>0</v>
      </c>
      <c r="I8" s="256"/>
      <c r="J8" s="477"/>
      <c r="K8" s="17"/>
      <c r="L8" s="17"/>
      <c r="M8" s="17"/>
      <c r="N8" s="17"/>
    </row>
    <row r="9" spans="1:14" ht="24.9" customHeight="1" x14ac:dyDescent="0.3">
      <c r="A9" s="43"/>
      <c r="B9" s="19" t="s">
        <v>24</v>
      </c>
      <c r="C9" s="432" t="s">
        <v>18</v>
      </c>
      <c r="D9" s="49" t="s">
        <v>8</v>
      </c>
      <c r="E9" s="49" t="s">
        <v>143</v>
      </c>
      <c r="F9" s="49" t="s">
        <v>185</v>
      </c>
      <c r="G9" s="56"/>
      <c r="H9" s="434">
        <v>7</v>
      </c>
      <c r="I9" s="256"/>
      <c r="J9" s="477"/>
      <c r="K9" s="17"/>
      <c r="L9" s="17"/>
      <c r="M9" s="17"/>
      <c r="N9" s="17"/>
    </row>
    <row r="10" spans="1:14" ht="24.9" customHeight="1" x14ac:dyDescent="0.3">
      <c r="A10" s="43"/>
      <c r="B10" s="19" t="s">
        <v>25</v>
      </c>
      <c r="C10" s="432" t="s">
        <v>671</v>
      </c>
      <c r="D10" s="49" t="s">
        <v>11</v>
      </c>
      <c r="E10" s="49" t="s">
        <v>338</v>
      </c>
      <c r="F10" s="49" t="s">
        <v>8</v>
      </c>
      <c r="G10" s="56"/>
      <c r="H10" s="434">
        <v>3</v>
      </c>
      <c r="I10" s="256"/>
      <c r="J10" s="477"/>
      <c r="K10" s="17"/>
      <c r="L10" s="17"/>
      <c r="M10" s="17"/>
      <c r="N10" s="17"/>
    </row>
    <row r="11" spans="1:14" ht="24.9" customHeight="1" x14ac:dyDescent="0.3">
      <c r="A11" s="43"/>
      <c r="B11" s="19" t="s">
        <v>26</v>
      </c>
      <c r="C11" s="432" t="s">
        <v>672</v>
      </c>
      <c r="D11" s="49" t="s">
        <v>141</v>
      </c>
      <c r="E11" s="49" t="s">
        <v>809</v>
      </c>
      <c r="F11" s="49" t="s">
        <v>8</v>
      </c>
      <c r="G11" s="56"/>
      <c r="H11" s="434">
        <v>4</v>
      </c>
      <c r="I11" s="256"/>
      <c r="J11" s="477"/>
      <c r="K11" s="17"/>
      <c r="L11" s="17"/>
      <c r="M11" s="17"/>
      <c r="N11" s="17"/>
    </row>
    <row r="12" spans="1:14" ht="24.9" customHeight="1" x14ac:dyDescent="0.3">
      <c r="A12" s="43"/>
      <c r="B12" s="19" t="s">
        <v>27</v>
      </c>
      <c r="C12" s="432" t="s">
        <v>673</v>
      </c>
      <c r="D12" s="49"/>
      <c r="E12" s="49"/>
      <c r="F12" s="49"/>
      <c r="G12" s="56"/>
      <c r="H12" s="434">
        <v>0</v>
      </c>
      <c r="I12" s="256"/>
      <c r="J12" s="477"/>
      <c r="K12" s="17"/>
      <c r="L12" s="17"/>
      <c r="M12" s="17"/>
      <c r="N12" s="17"/>
    </row>
    <row r="13" spans="1:14" ht="24.9" customHeight="1" x14ac:dyDescent="0.3">
      <c r="A13" s="43"/>
      <c r="B13" s="19" t="s">
        <v>28</v>
      </c>
      <c r="C13" s="432" t="s">
        <v>674</v>
      </c>
      <c r="D13" s="49"/>
      <c r="E13" s="49"/>
      <c r="F13" s="49"/>
      <c r="G13" s="56"/>
      <c r="H13" s="434">
        <v>0</v>
      </c>
      <c r="I13" s="256"/>
      <c r="J13" s="477"/>
      <c r="K13" s="17"/>
      <c r="L13" s="17"/>
      <c r="M13" s="17"/>
      <c r="N13" s="17"/>
    </row>
    <row r="14" spans="1:14" ht="24.9" customHeight="1" x14ac:dyDescent="0.3">
      <c r="A14" s="43"/>
      <c r="B14" s="19" t="s">
        <v>30</v>
      </c>
      <c r="C14" s="432" t="s">
        <v>675</v>
      </c>
      <c r="D14" s="49" t="s">
        <v>783</v>
      </c>
      <c r="E14" s="49"/>
      <c r="F14" s="49"/>
      <c r="G14" s="56"/>
      <c r="H14" s="434">
        <v>1</v>
      </c>
      <c r="I14" s="256"/>
      <c r="J14" s="477"/>
      <c r="K14" s="17"/>
      <c r="L14" s="17"/>
      <c r="M14" s="17"/>
      <c r="N14" s="17"/>
    </row>
    <row r="15" spans="1:14" ht="24.9" customHeight="1" x14ac:dyDescent="0.3">
      <c r="A15" s="43"/>
      <c r="B15" s="19" t="s">
        <v>31</v>
      </c>
      <c r="C15" s="432" t="s">
        <v>676</v>
      </c>
      <c r="D15" s="49"/>
      <c r="E15" s="49"/>
      <c r="F15" s="49"/>
      <c r="G15" s="56"/>
      <c r="H15" s="434">
        <v>0</v>
      </c>
      <c r="I15" s="256"/>
      <c r="J15" s="477"/>
      <c r="K15" s="17"/>
      <c r="L15" s="17"/>
      <c r="M15" s="17"/>
      <c r="N15" s="17"/>
    </row>
    <row r="16" spans="1:14" ht="24.9" customHeight="1" x14ac:dyDescent="0.3">
      <c r="A16" s="43"/>
      <c r="B16" s="19" t="s">
        <v>32</v>
      </c>
      <c r="C16" s="432" t="s">
        <v>677</v>
      </c>
      <c r="D16" s="49" t="s">
        <v>144</v>
      </c>
      <c r="E16" s="49" t="s">
        <v>143</v>
      </c>
      <c r="F16" s="49" t="s">
        <v>783</v>
      </c>
      <c r="G16" s="56"/>
      <c r="H16" s="434">
        <v>4</v>
      </c>
      <c r="I16" s="256"/>
      <c r="J16" s="477"/>
      <c r="K16" s="17"/>
      <c r="L16" s="17"/>
      <c r="M16" s="17"/>
      <c r="N16" s="17"/>
    </row>
    <row r="17" spans="1:14" ht="24.9" customHeight="1" x14ac:dyDescent="0.3">
      <c r="A17" s="43"/>
      <c r="B17" s="19" t="s">
        <v>33</v>
      </c>
      <c r="C17" s="432" t="s">
        <v>678</v>
      </c>
      <c r="D17" s="49" t="s">
        <v>143</v>
      </c>
      <c r="E17" s="49" t="s">
        <v>9</v>
      </c>
      <c r="F17" s="49" t="s">
        <v>783</v>
      </c>
      <c r="G17" s="56"/>
      <c r="H17" s="434">
        <v>6</v>
      </c>
      <c r="I17" s="256"/>
      <c r="J17" s="477"/>
      <c r="K17" s="17"/>
      <c r="L17" s="17"/>
      <c r="M17" s="17"/>
      <c r="N17" s="17"/>
    </row>
    <row r="18" spans="1:14" ht="24.9" customHeight="1" x14ac:dyDescent="0.3">
      <c r="A18" s="43"/>
      <c r="B18" s="19" t="s">
        <v>34</v>
      </c>
      <c r="C18" s="432" t="s">
        <v>679</v>
      </c>
      <c r="D18" s="49"/>
      <c r="E18" s="49"/>
      <c r="F18" s="49"/>
      <c r="G18" s="56"/>
      <c r="H18" s="434">
        <v>0</v>
      </c>
      <c r="I18" s="256"/>
      <c r="J18" s="477"/>
      <c r="K18" s="17"/>
      <c r="L18" s="17"/>
      <c r="M18" s="17"/>
      <c r="N18" s="17"/>
    </row>
    <row r="19" spans="1:14" ht="24.9" customHeight="1" x14ac:dyDescent="0.3">
      <c r="A19" s="43"/>
      <c r="B19" s="19" t="s">
        <v>35</v>
      </c>
      <c r="C19" s="432" t="s">
        <v>680</v>
      </c>
      <c r="D19" s="49" t="s">
        <v>8</v>
      </c>
      <c r="E19" s="49" t="s">
        <v>143</v>
      </c>
      <c r="F19" s="49" t="s">
        <v>783</v>
      </c>
      <c r="G19" s="56"/>
      <c r="H19" s="434">
        <v>3</v>
      </c>
      <c r="I19" s="256"/>
      <c r="J19" s="477"/>
      <c r="K19" s="17"/>
      <c r="L19" s="17"/>
      <c r="M19" s="17"/>
      <c r="N19" s="17"/>
    </row>
    <row r="20" spans="1:14" ht="24.9" customHeight="1" x14ac:dyDescent="0.3">
      <c r="A20" s="43"/>
      <c r="B20" s="19" t="s">
        <v>36</v>
      </c>
      <c r="C20" s="432" t="s">
        <v>681</v>
      </c>
      <c r="D20" s="49" t="s">
        <v>143</v>
      </c>
      <c r="E20" s="49" t="s">
        <v>185</v>
      </c>
      <c r="F20" s="49" t="s">
        <v>8</v>
      </c>
      <c r="G20" s="56"/>
      <c r="H20" s="434">
        <v>6</v>
      </c>
      <c r="I20" s="256"/>
      <c r="J20" s="477"/>
      <c r="K20" s="17"/>
      <c r="L20" s="17"/>
      <c r="M20" s="17"/>
      <c r="N20" s="17"/>
    </row>
    <row r="21" spans="1:14" ht="24.9" customHeight="1" x14ac:dyDescent="0.3">
      <c r="A21" s="43"/>
      <c r="B21" s="19" t="s">
        <v>37</v>
      </c>
      <c r="C21" s="433" t="s">
        <v>683</v>
      </c>
      <c r="D21" s="49" t="s">
        <v>842</v>
      </c>
      <c r="E21" s="49" t="s">
        <v>8</v>
      </c>
      <c r="F21" s="49" t="s">
        <v>185</v>
      </c>
      <c r="G21" s="56"/>
      <c r="H21" s="434">
        <v>7</v>
      </c>
      <c r="I21" s="256"/>
      <c r="J21" s="477"/>
      <c r="K21" s="17"/>
      <c r="L21" s="17"/>
      <c r="M21" s="17"/>
      <c r="N21" s="17"/>
    </row>
    <row r="22" spans="1:14" ht="24.9" customHeight="1" x14ac:dyDescent="0.3">
      <c r="A22" s="43"/>
      <c r="B22" s="19" t="s">
        <v>38</v>
      </c>
      <c r="C22" s="433" t="s">
        <v>682</v>
      </c>
      <c r="D22" s="49" t="s">
        <v>185</v>
      </c>
      <c r="E22" s="49" t="s">
        <v>185</v>
      </c>
      <c r="F22" s="49" t="s">
        <v>143</v>
      </c>
      <c r="G22" s="56"/>
      <c r="H22" s="434">
        <v>5</v>
      </c>
      <c r="I22" s="256"/>
      <c r="J22" s="477"/>
      <c r="K22" s="17"/>
      <c r="L22" s="17"/>
      <c r="M22" s="17"/>
      <c r="N22" s="17"/>
    </row>
    <row r="23" spans="1:14" ht="24.9" customHeight="1" x14ac:dyDescent="0.3">
      <c r="A23" s="43"/>
      <c r="B23" s="19" t="s">
        <v>39</v>
      </c>
      <c r="C23" s="432" t="s">
        <v>159</v>
      </c>
      <c r="D23" s="49" t="s">
        <v>827</v>
      </c>
      <c r="E23" s="49" t="s">
        <v>783</v>
      </c>
      <c r="F23" s="49" t="s">
        <v>143</v>
      </c>
      <c r="G23" s="56"/>
      <c r="H23" s="434">
        <v>6</v>
      </c>
      <c r="I23" s="256"/>
      <c r="J23" s="477"/>
      <c r="K23" s="17"/>
      <c r="L23" s="17"/>
      <c r="M23" s="17"/>
      <c r="N23" s="17"/>
    </row>
    <row r="24" spans="1:14" ht="24.9" customHeight="1" x14ac:dyDescent="0.3">
      <c r="A24" s="43"/>
      <c r="B24" s="19" t="s">
        <v>40</v>
      </c>
      <c r="C24" s="432" t="s">
        <v>161</v>
      </c>
      <c r="D24" s="49" t="s">
        <v>8</v>
      </c>
      <c r="E24" s="49" t="s">
        <v>8</v>
      </c>
      <c r="F24" s="49"/>
      <c r="G24" s="56"/>
      <c r="H24" s="434">
        <v>2</v>
      </c>
      <c r="I24" s="256"/>
      <c r="J24" s="477"/>
      <c r="K24" s="17"/>
      <c r="L24" s="17"/>
      <c r="M24" s="17"/>
      <c r="N24" s="17"/>
    </row>
    <row r="25" spans="1:14" ht="24.9" customHeight="1" x14ac:dyDescent="0.3">
      <c r="B25" s="76"/>
      <c r="C25" s="188"/>
      <c r="D25" s="30" t="s">
        <v>299</v>
      </c>
      <c r="E25" s="17"/>
      <c r="F25" s="17"/>
      <c r="G25" s="56"/>
      <c r="H25" s="256"/>
      <c r="I25" s="256"/>
      <c r="J25" s="477"/>
      <c r="K25" s="17"/>
      <c r="L25" s="17"/>
      <c r="M25" s="17"/>
      <c r="N25" s="17"/>
    </row>
    <row r="26" spans="1:14" ht="24.9" customHeight="1" x14ac:dyDescent="0.3">
      <c r="B26" s="76"/>
      <c r="C26" s="87" t="s">
        <v>210</v>
      </c>
      <c r="D26" s="52" t="s">
        <v>842</v>
      </c>
      <c r="E26" s="69"/>
      <c r="F26" s="17"/>
      <c r="H26" s="17"/>
      <c r="I26" s="17"/>
      <c r="J26" s="477"/>
      <c r="K26" s="17"/>
      <c r="L26" s="17"/>
      <c r="M26" s="17"/>
      <c r="N26" s="17"/>
    </row>
    <row r="27" spans="1:14" ht="27" customHeight="1" x14ac:dyDescent="0.3">
      <c r="B27" s="37"/>
      <c r="C27" s="277" t="s">
        <v>6</v>
      </c>
      <c r="D27" s="51" t="s">
        <v>886</v>
      </c>
      <c r="E27" s="255"/>
      <c r="F27" s="17"/>
      <c r="H27" s="17"/>
      <c r="I27" s="338"/>
      <c r="J27" s="477"/>
      <c r="K27" s="17"/>
      <c r="M27" s="17"/>
      <c r="N27" s="17"/>
    </row>
    <row r="28" spans="1:14" ht="22.5" customHeight="1" x14ac:dyDescent="0.3">
      <c r="B28" s="24"/>
      <c r="C28" s="188"/>
      <c r="D28" s="17"/>
      <c r="E28" s="22"/>
      <c r="F28" s="22"/>
      <c r="G28" s="22"/>
      <c r="H28" s="22"/>
      <c r="I28" s="17"/>
      <c r="J28" s="477"/>
      <c r="K28" s="17"/>
      <c r="L28" s="17"/>
      <c r="M28" s="17"/>
      <c r="N28" s="17"/>
    </row>
    <row r="29" spans="1:14" ht="22.5" customHeight="1" x14ac:dyDescent="0.3">
      <c r="B29" s="76"/>
      <c r="C29" s="109"/>
      <c r="D29" s="109"/>
      <c r="E29" s="109"/>
      <c r="F29" s="109"/>
      <c r="G29" s="109"/>
      <c r="H29" s="109"/>
      <c r="I29" s="17"/>
      <c r="J29" s="477"/>
      <c r="K29" s="17"/>
      <c r="L29" s="17"/>
      <c r="M29" s="17"/>
      <c r="N29" s="17"/>
    </row>
    <row r="30" spans="1:14" x14ac:dyDescent="0.3">
      <c r="I30" s="22"/>
      <c r="J30" s="478"/>
      <c r="K30" s="17"/>
      <c r="L30" s="17"/>
      <c r="M30" s="17"/>
      <c r="N30" s="17"/>
    </row>
    <row r="31" spans="1:14" ht="18.600000000000001" hidden="1" customHeight="1" x14ac:dyDescent="0.3">
      <c r="I31" s="109"/>
      <c r="J31" s="478"/>
      <c r="K31" s="17"/>
      <c r="L31" s="17"/>
      <c r="M31" s="17"/>
      <c r="N31" s="17"/>
    </row>
    <row r="32" spans="1:14" x14ac:dyDescent="0.3">
      <c r="J32" s="478"/>
    </row>
    <row r="33" spans="1:42" customFormat="1" x14ac:dyDescent="0.3">
      <c r="A33" s="281" t="s">
        <v>799</v>
      </c>
      <c r="B33" s="5"/>
      <c r="C33" s="6"/>
      <c r="D33" s="402"/>
      <c r="E33" s="402"/>
      <c r="F33" s="102"/>
      <c r="G33" s="393"/>
      <c r="H33" s="394"/>
      <c r="I33" s="395"/>
      <c r="J33" s="478"/>
      <c r="K33" s="397"/>
      <c r="L33" s="398">
        <v>0</v>
      </c>
      <c r="M33" s="398">
        <v>0</v>
      </c>
      <c r="N33" s="398">
        <v>0</v>
      </c>
      <c r="O33" s="399">
        <v>0</v>
      </c>
      <c r="P33" s="399">
        <v>0</v>
      </c>
      <c r="Q33" s="399">
        <v>0</v>
      </c>
      <c r="R33" s="399">
        <v>0</v>
      </c>
      <c r="S33" s="399">
        <v>0</v>
      </c>
      <c r="T33" s="398">
        <v>0</v>
      </c>
      <c r="U33" s="398">
        <v>0</v>
      </c>
      <c r="V33" s="398">
        <v>0</v>
      </c>
      <c r="W33" s="398">
        <v>0</v>
      </c>
      <c r="X33" s="398">
        <v>0</v>
      </c>
      <c r="Y33" s="398">
        <v>0</v>
      </c>
      <c r="Z33" s="398">
        <v>0</v>
      </c>
      <c r="AA33" s="242"/>
      <c r="AB33" s="242"/>
      <c r="AC33" s="293"/>
      <c r="AD33" s="270"/>
      <c r="AF33" s="103"/>
      <c r="AG33" s="351"/>
      <c r="AP33">
        <v>0</v>
      </c>
    </row>
    <row r="34" spans="1:42" customFormat="1" x14ac:dyDescent="0.3">
      <c r="A34" s="281" t="s">
        <v>799</v>
      </c>
      <c r="B34" s="5"/>
      <c r="C34" s="6"/>
      <c r="D34" s="402"/>
      <c r="E34" s="402"/>
      <c r="F34" s="102"/>
      <c r="G34" s="393"/>
      <c r="H34" s="394"/>
      <c r="I34" s="395"/>
      <c r="J34" s="478"/>
      <c r="K34" s="397"/>
      <c r="L34" s="398">
        <v>0</v>
      </c>
      <c r="M34" s="398">
        <v>0</v>
      </c>
      <c r="N34" s="398">
        <v>0</v>
      </c>
      <c r="O34" s="399">
        <v>0</v>
      </c>
      <c r="P34" s="399">
        <v>0</v>
      </c>
      <c r="Q34" s="399">
        <v>0</v>
      </c>
      <c r="R34" s="399">
        <v>0</v>
      </c>
      <c r="S34" s="399">
        <v>0</v>
      </c>
      <c r="T34" s="398">
        <v>0</v>
      </c>
      <c r="U34" s="398">
        <v>0</v>
      </c>
      <c r="V34" s="398">
        <v>0</v>
      </c>
      <c r="W34" s="398">
        <v>0</v>
      </c>
      <c r="X34" s="398">
        <v>0</v>
      </c>
      <c r="Y34" s="398">
        <v>0</v>
      </c>
      <c r="Z34" s="398">
        <v>0</v>
      </c>
      <c r="AA34" s="242"/>
      <c r="AB34" s="242"/>
      <c r="AC34" s="293"/>
      <c r="AD34" s="270"/>
      <c r="AF34" s="103"/>
      <c r="AG34" s="351"/>
      <c r="AP34">
        <v>0</v>
      </c>
    </row>
    <row r="35" spans="1:42" customFormat="1" x14ac:dyDescent="0.3">
      <c r="A35" s="281" t="s">
        <v>799</v>
      </c>
      <c r="B35" s="5"/>
      <c r="C35" s="6"/>
      <c r="D35" s="402"/>
      <c r="E35" s="402"/>
      <c r="F35" s="102"/>
      <c r="G35" s="393"/>
      <c r="H35" s="394"/>
      <c r="I35" s="395"/>
      <c r="J35" s="478"/>
      <c r="K35" s="397"/>
      <c r="L35" s="398">
        <v>0</v>
      </c>
      <c r="M35" s="398">
        <v>0</v>
      </c>
      <c r="N35" s="398">
        <v>0</v>
      </c>
      <c r="O35" s="399">
        <v>0</v>
      </c>
      <c r="P35" s="399">
        <v>0</v>
      </c>
      <c r="Q35" s="399">
        <v>0</v>
      </c>
      <c r="R35" s="399">
        <v>0</v>
      </c>
      <c r="S35" s="399">
        <v>0</v>
      </c>
      <c r="T35" s="398">
        <v>0</v>
      </c>
      <c r="U35" s="398">
        <v>0</v>
      </c>
      <c r="V35" s="398">
        <v>0</v>
      </c>
      <c r="W35" s="398">
        <v>0</v>
      </c>
      <c r="X35" s="398">
        <v>0</v>
      </c>
      <c r="Y35" s="398">
        <v>0</v>
      </c>
      <c r="Z35" s="398">
        <v>0</v>
      </c>
      <c r="AA35" s="242"/>
      <c r="AB35" s="242"/>
      <c r="AC35" s="293"/>
      <c r="AD35" s="270"/>
      <c r="AF35" s="103"/>
      <c r="AG35" s="351"/>
      <c r="AP35">
        <v>0</v>
      </c>
    </row>
    <row r="36" spans="1:42" customFormat="1" x14ac:dyDescent="0.3">
      <c r="A36" s="281" t="s">
        <v>799</v>
      </c>
      <c r="B36" s="5"/>
      <c r="C36" s="6"/>
      <c r="D36" s="402"/>
      <c r="E36" s="402"/>
      <c r="F36" s="102"/>
      <c r="G36" s="393"/>
      <c r="H36" s="394"/>
      <c r="I36" s="395"/>
      <c r="J36" s="478"/>
      <c r="K36" s="397"/>
      <c r="L36" s="398">
        <v>0</v>
      </c>
      <c r="M36" s="398">
        <v>0</v>
      </c>
      <c r="N36" s="398">
        <v>0</v>
      </c>
      <c r="O36" s="399">
        <v>0</v>
      </c>
      <c r="P36" s="399">
        <v>0</v>
      </c>
      <c r="Q36" s="399">
        <v>0</v>
      </c>
      <c r="R36" s="399">
        <v>0</v>
      </c>
      <c r="S36" s="399">
        <v>0</v>
      </c>
      <c r="T36" s="398">
        <v>0</v>
      </c>
      <c r="U36" s="398">
        <v>0</v>
      </c>
      <c r="V36" s="398">
        <v>0</v>
      </c>
      <c r="W36" s="398">
        <v>0</v>
      </c>
      <c r="X36" s="398">
        <v>0</v>
      </c>
      <c r="Y36" s="398">
        <v>0</v>
      </c>
      <c r="Z36" s="398">
        <v>0</v>
      </c>
      <c r="AA36" s="242"/>
      <c r="AB36" s="242"/>
      <c r="AC36" s="293"/>
      <c r="AD36" s="270"/>
      <c r="AF36" s="103"/>
      <c r="AG36" s="351"/>
      <c r="AP36">
        <v>0</v>
      </c>
    </row>
    <row r="37" spans="1:42" customFormat="1" x14ac:dyDescent="0.3">
      <c r="A37" s="281" t="s">
        <v>799</v>
      </c>
      <c r="B37" s="5"/>
      <c r="C37" s="6"/>
      <c r="D37" s="402"/>
      <c r="E37" s="402"/>
      <c r="F37" s="102"/>
      <c r="G37" s="393"/>
      <c r="H37" s="394"/>
      <c r="I37" s="395"/>
      <c r="J37" s="478"/>
      <c r="K37" s="397"/>
      <c r="L37" s="398">
        <v>0</v>
      </c>
      <c r="M37" s="398">
        <v>0</v>
      </c>
      <c r="N37" s="398">
        <v>0</v>
      </c>
      <c r="O37" s="399">
        <v>0</v>
      </c>
      <c r="P37" s="399">
        <v>0</v>
      </c>
      <c r="Q37" s="399">
        <v>0</v>
      </c>
      <c r="R37" s="399">
        <v>0</v>
      </c>
      <c r="S37" s="399">
        <v>0</v>
      </c>
      <c r="T37" s="398">
        <v>0</v>
      </c>
      <c r="U37" s="398">
        <v>0</v>
      </c>
      <c r="V37" s="398">
        <v>0</v>
      </c>
      <c r="W37" s="398">
        <v>0</v>
      </c>
      <c r="X37" s="398">
        <v>0</v>
      </c>
      <c r="Y37" s="398">
        <v>0</v>
      </c>
      <c r="Z37" s="398">
        <v>0</v>
      </c>
      <c r="AA37" s="242"/>
      <c r="AB37" s="242"/>
      <c r="AC37" s="293"/>
      <c r="AD37" s="270"/>
      <c r="AF37" s="103"/>
      <c r="AG37" s="351"/>
      <c r="AP37">
        <v>0</v>
      </c>
    </row>
    <row r="38" spans="1:42" customFormat="1" x14ac:dyDescent="0.3">
      <c r="A38" s="281" t="s">
        <v>799</v>
      </c>
      <c r="B38" s="5"/>
      <c r="C38" s="6"/>
      <c r="D38" s="402"/>
      <c r="E38" s="402"/>
      <c r="F38" s="102"/>
      <c r="G38" s="393"/>
      <c r="H38" s="394"/>
      <c r="I38" s="395"/>
      <c r="J38" s="478"/>
      <c r="K38" s="397"/>
      <c r="L38" s="398">
        <v>0</v>
      </c>
      <c r="M38" s="398">
        <v>0</v>
      </c>
      <c r="N38" s="398">
        <v>0</v>
      </c>
      <c r="O38" s="399">
        <v>0</v>
      </c>
      <c r="P38" s="399">
        <v>0</v>
      </c>
      <c r="Q38" s="399">
        <v>0</v>
      </c>
      <c r="R38" s="399">
        <v>0</v>
      </c>
      <c r="S38" s="399">
        <v>0</v>
      </c>
      <c r="T38" s="398">
        <v>0</v>
      </c>
      <c r="U38" s="398">
        <v>0</v>
      </c>
      <c r="V38" s="398">
        <v>0</v>
      </c>
      <c r="W38" s="398">
        <v>0</v>
      </c>
      <c r="X38" s="398">
        <v>0</v>
      </c>
      <c r="Y38" s="398">
        <v>0</v>
      </c>
      <c r="Z38" s="398">
        <v>0</v>
      </c>
      <c r="AA38" s="242"/>
      <c r="AB38" s="242"/>
      <c r="AC38" s="293"/>
      <c r="AD38" s="270"/>
      <c r="AF38" s="103"/>
      <c r="AG38" s="351"/>
      <c r="AP38">
        <v>0</v>
      </c>
    </row>
    <row r="39" spans="1:42" customFormat="1" x14ac:dyDescent="0.3">
      <c r="A39" s="281" t="s">
        <v>799</v>
      </c>
      <c r="B39" s="5"/>
      <c r="C39" s="6"/>
      <c r="D39" s="414"/>
      <c r="E39" s="402"/>
      <c r="F39" s="102"/>
      <c r="G39" s="393"/>
      <c r="H39" s="394"/>
      <c r="I39" s="395"/>
      <c r="J39" s="478"/>
      <c r="K39" s="397"/>
      <c r="L39" s="398">
        <v>0</v>
      </c>
      <c r="M39" s="398">
        <v>0</v>
      </c>
      <c r="N39" s="398">
        <v>0</v>
      </c>
      <c r="O39" s="399">
        <v>0</v>
      </c>
      <c r="P39" s="399">
        <v>0</v>
      </c>
      <c r="Q39" s="399">
        <v>0</v>
      </c>
      <c r="R39" s="399">
        <v>0</v>
      </c>
      <c r="S39" s="399">
        <v>0</v>
      </c>
      <c r="T39" s="398">
        <v>0</v>
      </c>
      <c r="U39" s="398">
        <v>0</v>
      </c>
      <c r="V39" s="398">
        <v>0</v>
      </c>
      <c r="W39" s="398">
        <v>0</v>
      </c>
      <c r="X39" s="398">
        <v>0</v>
      </c>
      <c r="Y39" s="398">
        <v>0</v>
      </c>
      <c r="Z39" s="398">
        <v>0</v>
      </c>
      <c r="AA39" s="242"/>
      <c r="AB39" s="242"/>
      <c r="AC39" s="293"/>
      <c r="AD39" s="270"/>
      <c r="AF39" s="103"/>
      <c r="AG39" s="351"/>
      <c r="AP39">
        <v>0</v>
      </c>
    </row>
    <row r="40" spans="1:42" customFormat="1" x14ac:dyDescent="0.3">
      <c r="A40" s="281" t="s">
        <v>799</v>
      </c>
      <c r="B40" s="5"/>
      <c r="C40" s="6"/>
      <c r="D40" s="402"/>
      <c r="E40" s="402"/>
      <c r="F40" s="102"/>
      <c r="G40" s="393"/>
      <c r="H40" s="394"/>
      <c r="I40" s="395"/>
      <c r="J40" s="478"/>
      <c r="K40" s="397"/>
      <c r="L40" s="398">
        <v>0</v>
      </c>
      <c r="M40" s="398">
        <v>0</v>
      </c>
      <c r="N40" s="398">
        <v>0</v>
      </c>
      <c r="O40" s="399">
        <v>0</v>
      </c>
      <c r="P40" s="399">
        <v>0</v>
      </c>
      <c r="Q40" s="399">
        <v>0</v>
      </c>
      <c r="R40" s="399">
        <v>0</v>
      </c>
      <c r="S40" s="399">
        <v>0</v>
      </c>
      <c r="T40" s="398">
        <v>0</v>
      </c>
      <c r="U40" s="398">
        <v>0</v>
      </c>
      <c r="V40" s="398">
        <v>0</v>
      </c>
      <c r="W40" s="398">
        <v>0</v>
      </c>
      <c r="X40" s="398">
        <v>0</v>
      </c>
      <c r="Y40" s="398">
        <v>0</v>
      </c>
      <c r="Z40" s="398">
        <v>0</v>
      </c>
      <c r="AA40" s="242"/>
      <c r="AB40" s="242"/>
      <c r="AC40" s="293"/>
      <c r="AD40" s="270"/>
      <c r="AF40" s="103"/>
      <c r="AG40" s="351"/>
      <c r="AP40">
        <v>0</v>
      </c>
    </row>
    <row r="41" spans="1:42" customFormat="1" x14ac:dyDescent="0.3">
      <c r="A41" s="281" t="s">
        <v>799</v>
      </c>
      <c r="B41" s="5"/>
      <c r="C41" s="6"/>
      <c r="D41" s="402"/>
      <c r="E41" s="402"/>
      <c r="F41" s="102"/>
      <c r="G41" s="393"/>
      <c r="H41" s="394"/>
      <c r="I41" s="395"/>
      <c r="J41" s="478"/>
      <c r="K41" s="397"/>
      <c r="L41" s="398">
        <v>0</v>
      </c>
      <c r="M41" s="398">
        <v>0</v>
      </c>
      <c r="N41" s="398">
        <v>0</v>
      </c>
      <c r="O41" s="399">
        <v>0</v>
      </c>
      <c r="P41" s="399">
        <v>0</v>
      </c>
      <c r="Q41" s="399">
        <v>0</v>
      </c>
      <c r="R41" s="399">
        <v>0</v>
      </c>
      <c r="S41" s="399">
        <v>0</v>
      </c>
      <c r="T41" s="398">
        <v>0</v>
      </c>
      <c r="U41" s="398">
        <v>0</v>
      </c>
      <c r="V41" s="398">
        <v>0</v>
      </c>
      <c r="W41" s="398">
        <v>0</v>
      </c>
      <c r="X41" s="398">
        <v>0</v>
      </c>
      <c r="Y41" s="398">
        <v>0</v>
      </c>
      <c r="Z41" s="398">
        <v>0</v>
      </c>
      <c r="AA41" s="242"/>
      <c r="AB41" s="242"/>
      <c r="AC41" s="293"/>
      <c r="AD41" s="270"/>
      <c r="AF41" s="103"/>
      <c r="AG41" s="351"/>
      <c r="AP41">
        <v>0</v>
      </c>
    </row>
    <row r="42" spans="1:42" customFormat="1" x14ac:dyDescent="0.3">
      <c r="A42" s="281" t="s">
        <v>799</v>
      </c>
      <c r="B42" s="5"/>
      <c r="C42" s="6"/>
      <c r="D42" s="402"/>
      <c r="E42" s="402"/>
      <c r="F42" s="102"/>
      <c r="G42" s="393"/>
      <c r="H42" s="394"/>
      <c r="I42" s="395"/>
      <c r="J42" s="478"/>
      <c r="K42" s="397"/>
      <c r="L42" s="398">
        <v>0</v>
      </c>
      <c r="M42" s="398">
        <v>0</v>
      </c>
      <c r="N42" s="398">
        <v>0</v>
      </c>
      <c r="O42" s="399">
        <v>0</v>
      </c>
      <c r="P42" s="399">
        <v>0</v>
      </c>
      <c r="Q42" s="399">
        <v>0</v>
      </c>
      <c r="R42" s="399">
        <v>0</v>
      </c>
      <c r="S42" s="399">
        <v>0</v>
      </c>
      <c r="T42" s="398">
        <v>0</v>
      </c>
      <c r="U42" s="398">
        <v>0</v>
      </c>
      <c r="V42" s="398">
        <v>0</v>
      </c>
      <c r="W42" s="398">
        <v>0</v>
      </c>
      <c r="X42" s="398">
        <v>0</v>
      </c>
      <c r="Y42" s="398">
        <v>0</v>
      </c>
      <c r="Z42" s="398">
        <v>0</v>
      </c>
      <c r="AA42" s="242"/>
      <c r="AB42" s="242"/>
      <c r="AC42" s="293"/>
      <c r="AD42" s="270"/>
      <c r="AF42" s="103"/>
      <c r="AG42" s="351"/>
      <c r="AP42">
        <v>0</v>
      </c>
    </row>
    <row r="43" spans="1:42" customFormat="1" x14ac:dyDescent="0.3">
      <c r="A43" s="281" t="s">
        <v>799</v>
      </c>
      <c r="B43" s="5"/>
      <c r="C43" s="6"/>
      <c r="D43" s="414"/>
      <c r="E43" s="402"/>
      <c r="F43" s="102"/>
      <c r="G43" s="393"/>
      <c r="H43" s="394"/>
      <c r="I43" s="395"/>
      <c r="J43" s="478"/>
      <c r="K43" s="397"/>
      <c r="L43" s="398">
        <v>0</v>
      </c>
      <c r="M43" s="398">
        <v>0</v>
      </c>
      <c r="N43" s="398">
        <v>0</v>
      </c>
      <c r="O43" s="399">
        <v>0</v>
      </c>
      <c r="P43" s="399">
        <v>0</v>
      </c>
      <c r="Q43" s="399">
        <v>0</v>
      </c>
      <c r="R43" s="399">
        <v>0</v>
      </c>
      <c r="S43" s="399">
        <v>0</v>
      </c>
      <c r="T43" s="398">
        <v>0</v>
      </c>
      <c r="U43" s="398">
        <v>0</v>
      </c>
      <c r="V43" s="398">
        <v>0</v>
      </c>
      <c r="W43" s="398">
        <v>0</v>
      </c>
      <c r="X43" s="398">
        <v>0</v>
      </c>
      <c r="Y43" s="398">
        <v>0</v>
      </c>
      <c r="Z43" s="398">
        <v>0</v>
      </c>
      <c r="AA43" s="242"/>
      <c r="AB43" s="242"/>
      <c r="AC43" s="293"/>
      <c r="AD43" s="270"/>
      <c r="AF43" s="103"/>
      <c r="AG43" s="351"/>
      <c r="AP43">
        <v>0</v>
      </c>
    </row>
    <row r="44" spans="1:42" customFormat="1" x14ac:dyDescent="0.3">
      <c r="A44" s="281" t="s">
        <v>799</v>
      </c>
      <c r="B44" s="5"/>
      <c r="C44" s="6"/>
      <c r="D44" s="402"/>
      <c r="E44" s="402"/>
      <c r="F44" s="102"/>
      <c r="G44" s="393"/>
      <c r="H44" s="394"/>
      <c r="I44" s="395"/>
      <c r="J44" s="478"/>
      <c r="K44" s="397"/>
      <c r="L44" s="398">
        <v>0</v>
      </c>
      <c r="M44" s="398">
        <v>0</v>
      </c>
      <c r="N44" s="398">
        <v>0</v>
      </c>
      <c r="O44" s="399">
        <v>0</v>
      </c>
      <c r="P44" s="399">
        <v>0</v>
      </c>
      <c r="Q44" s="399">
        <v>0</v>
      </c>
      <c r="R44" s="399">
        <v>0</v>
      </c>
      <c r="S44" s="399">
        <v>0</v>
      </c>
      <c r="T44" s="398">
        <v>0</v>
      </c>
      <c r="U44" s="398">
        <v>0</v>
      </c>
      <c r="V44" s="398">
        <v>0</v>
      </c>
      <c r="W44" s="398">
        <v>0</v>
      </c>
      <c r="X44" s="398">
        <v>0</v>
      </c>
      <c r="Y44" s="398">
        <v>0</v>
      </c>
      <c r="Z44" s="398">
        <v>0</v>
      </c>
      <c r="AA44" s="242"/>
      <c r="AB44" s="242"/>
      <c r="AC44" s="293"/>
      <c r="AD44" s="270"/>
      <c r="AF44" s="103"/>
      <c r="AG44" s="351"/>
      <c r="AP44">
        <v>0</v>
      </c>
    </row>
    <row r="45" spans="1:42" customFormat="1" x14ac:dyDescent="0.3">
      <c r="A45" s="281" t="s">
        <v>799</v>
      </c>
      <c r="B45" s="5"/>
      <c r="C45" s="6"/>
      <c r="D45" s="402"/>
      <c r="E45" s="402"/>
      <c r="F45" s="102"/>
      <c r="G45" s="393"/>
      <c r="H45" s="394"/>
      <c r="I45" s="395"/>
      <c r="J45" s="478"/>
      <c r="K45" s="397"/>
      <c r="L45" s="398">
        <v>0</v>
      </c>
      <c r="M45" s="398">
        <v>0</v>
      </c>
      <c r="N45" s="398">
        <v>0</v>
      </c>
      <c r="O45" s="399">
        <v>0</v>
      </c>
      <c r="P45" s="399">
        <v>0</v>
      </c>
      <c r="Q45" s="399">
        <v>0</v>
      </c>
      <c r="R45" s="399">
        <v>0</v>
      </c>
      <c r="S45" s="399">
        <v>0</v>
      </c>
      <c r="T45" s="398">
        <v>0</v>
      </c>
      <c r="U45" s="398">
        <v>0</v>
      </c>
      <c r="V45" s="398">
        <v>0</v>
      </c>
      <c r="W45" s="398">
        <v>0</v>
      </c>
      <c r="X45" s="398">
        <v>0</v>
      </c>
      <c r="Y45" s="398">
        <v>0</v>
      </c>
      <c r="Z45" s="398">
        <v>0</v>
      </c>
      <c r="AA45" s="242"/>
      <c r="AB45" s="242"/>
      <c r="AC45" s="293"/>
      <c r="AD45" s="270"/>
      <c r="AF45" s="103"/>
      <c r="AG45" s="351"/>
      <c r="AP45">
        <v>0</v>
      </c>
    </row>
  </sheetData>
  <customSheetViews>
    <customSheetView guid="{468281ED-4ADC-4BB5-9EE5-E9016B5EB30D}" showPageBreaks="1" fitToPage="1" printArea="1">
      <pane ySplit="2" topLeftCell="A21" activePane="bottomLeft" state="frozen"/>
      <selection pane="bottomLeft" sqref="A1:I30"/>
      <pageMargins left="0.23622047244094491" right="0.23622047244094491" top="0.55118110236220474" bottom="0.19685039370078741" header="0" footer="0"/>
      <printOptions horizontalCentered="1"/>
      <pageSetup paperSize="9" orientation="portrait" horizontalDpi="4294967293" r:id="rId1"/>
    </customSheetView>
  </customSheetViews>
  <mergeCells count="1">
    <mergeCell ref="J3:J45"/>
  </mergeCells>
  <printOptions horizontalCentered="1"/>
  <pageMargins left="0.25" right="0.25" top="0.75" bottom="0.75" header="0.3" footer="0.3"/>
  <pageSetup paperSize="9" orientation="portrait" horizontalDpi="4294967293" r:id="rId2"/>
  <drawing r:id="rId3"/>
  <legacyDrawing r:id="rId4"/>
  <controls>
    <mc:AlternateContent xmlns:mc="http://schemas.openxmlformats.org/markup-compatibility/2006">
      <mc:Choice Requires="x14">
        <control shapeId="3073" r:id="rId5" name="CommandButton1">
          <controlPr locked="0" defaultSize="0" autoLine="0" r:id="rId6">
            <anchor moveWithCells="1">
              <from>
                <xdr:col>9</xdr:col>
                <xdr:colOff>7620</xdr:colOff>
                <xdr:row>1</xdr:row>
                <xdr:rowOff>0</xdr:rowOff>
              </from>
              <to>
                <xdr:col>9</xdr:col>
                <xdr:colOff>1234440</xdr:colOff>
                <xdr:row>2</xdr:row>
                <xdr:rowOff>236220</xdr:rowOff>
              </to>
            </anchor>
          </controlPr>
        </control>
      </mc:Choice>
      <mc:Fallback>
        <control shapeId="3073" r:id="rId5" name="CommandButton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lower_sheet">
    <pageSetUpPr fitToPage="1"/>
  </sheetPr>
  <dimension ref="A1:Q47"/>
  <sheetViews>
    <sheetView topLeftCell="A2" zoomScale="111" zoomScaleNormal="100" workbookViewId="0">
      <selection activeCell="L5" sqref="L5"/>
    </sheetView>
  </sheetViews>
  <sheetFormatPr defaultColWidth="9.109375" defaultRowHeight="15.6" x14ac:dyDescent="0.3"/>
  <cols>
    <col min="1" max="1" width="5.5546875" style="1" customWidth="1"/>
    <col min="2" max="2" width="4.44140625" style="5" customWidth="1"/>
    <col min="3" max="3" width="25" style="8" customWidth="1"/>
    <col min="4" max="4" width="16" style="4" customWidth="1"/>
    <col min="5" max="5" width="19.5546875" style="4" customWidth="1"/>
    <col min="6" max="6" width="19.6640625" style="4" customWidth="1"/>
    <col min="7" max="7" width="2.44140625" style="1" customWidth="1"/>
    <col min="8" max="8" width="4.44140625" style="44" customWidth="1"/>
    <col min="9" max="9" width="1.5546875" style="68" customWidth="1"/>
    <col min="10" max="10" width="5.109375" style="107" customWidth="1"/>
    <col min="11" max="11" width="22.44140625" style="1" customWidth="1"/>
    <col min="12" max="17" width="14.5546875" style="1" customWidth="1"/>
    <col min="18" max="16384" width="9.109375" style="1"/>
  </cols>
  <sheetData>
    <row r="1" spans="1:17" s="10" customFormat="1" ht="30" customHeight="1" x14ac:dyDescent="0.4">
      <c r="A1" s="34"/>
      <c r="B1" s="259" t="s">
        <v>56</v>
      </c>
      <c r="C1" s="34"/>
      <c r="D1" s="424"/>
      <c r="E1" s="471"/>
      <c r="F1" s="472" t="s">
        <v>667</v>
      </c>
      <c r="G1" s="294"/>
      <c r="H1" s="63"/>
      <c r="I1" s="34"/>
      <c r="J1" s="295"/>
      <c r="K1" s="295"/>
      <c r="L1" s="295"/>
      <c r="M1" s="295"/>
      <c r="N1" s="295"/>
      <c r="O1" s="295"/>
      <c r="P1" s="295"/>
      <c r="Q1" s="295"/>
    </row>
    <row r="2" spans="1:17" ht="32.1" customHeight="1" x14ac:dyDescent="0.3">
      <c r="A2" s="17"/>
      <c r="B2" s="362" t="s">
        <v>0</v>
      </c>
      <c r="C2" s="430"/>
      <c r="D2" s="179" t="s">
        <v>1</v>
      </c>
      <c r="E2" s="179" t="s">
        <v>2</v>
      </c>
      <c r="F2" s="179" t="s">
        <v>3</v>
      </c>
      <c r="G2" s="30"/>
      <c r="H2" s="185" t="s">
        <v>7</v>
      </c>
      <c r="I2" s="186"/>
      <c r="K2" s="297"/>
      <c r="L2" s="40"/>
      <c r="M2" s="17"/>
      <c r="N2" s="17"/>
      <c r="O2" s="17"/>
      <c r="P2" s="17"/>
      <c r="Q2" s="17"/>
    </row>
    <row r="3" spans="1:17" ht="32.1" customHeight="1" x14ac:dyDescent="0.3">
      <c r="A3" s="17"/>
      <c r="B3" s="363" t="s">
        <v>42</v>
      </c>
      <c r="C3" s="364" t="s">
        <v>170</v>
      </c>
      <c r="D3" s="52" t="s">
        <v>144</v>
      </c>
      <c r="E3" s="52" t="s">
        <v>144</v>
      </c>
      <c r="F3" s="52" t="s">
        <v>140</v>
      </c>
      <c r="G3" s="72"/>
      <c r="H3" s="50">
        <v>4</v>
      </c>
      <c r="I3" s="257"/>
      <c r="J3" s="109"/>
      <c r="K3" s="479"/>
      <c r="L3" s="35"/>
      <c r="M3" s="35"/>
      <c r="N3" s="35"/>
      <c r="O3" s="35"/>
      <c r="P3" s="35"/>
      <c r="Q3" s="40"/>
    </row>
    <row r="4" spans="1:17" ht="32.1" customHeight="1" x14ac:dyDescent="0.3">
      <c r="A4" s="17"/>
      <c r="B4" s="363" t="s">
        <v>43</v>
      </c>
      <c r="C4" s="364" t="s">
        <v>171</v>
      </c>
      <c r="D4" s="52" t="s">
        <v>140</v>
      </c>
      <c r="E4" s="52" t="s">
        <v>8</v>
      </c>
      <c r="F4" s="52"/>
      <c r="G4" s="72"/>
      <c r="H4" s="50">
        <v>2</v>
      </c>
      <c r="I4" s="257"/>
      <c r="K4" s="480"/>
      <c r="L4" s="35"/>
      <c r="M4" s="35"/>
      <c r="N4" s="35"/>
      <c r="O4" s="35"/>
      <c r="P4" s="35"/>
      <c r="Q4" s="17"/>
    </row>
    <row r="5" spans="1:17" ht="32.1" customHeight="1" x14ac:dyDescent="0.3">
      <c r="A5" s="17"/>
      <c r="B5" s="363" t="s">
        <v>44</v>
      </c>
      <c r="C5" s="364" t="s">
        <v>162</v>
      </c>
      <c r="D5" s="52" t="s">
        <v>783</v>
      </c>
      <c r="E5" s="52" t="s">
        <v>827</v>
      </c>
      <c r="F5" s="52" t="s">
        <v>8</v>
      </c>
      <c r="G5" s="72"/>
      <c r="H5" s="50">
        <v>6</v>
      </c>
      <c r="I5" s="257"/>
      <c r="K5" s="480"/>
      <c r="L5" s="35"/>
      <c r="M5" s="35"/>
      <c r="N5" s="35"/>
      <c r="O5" s="35"/>
      <c r="P5" s="35"/>
      <c r="Q5" s="17"/>
    </row>
    <row r="6" spans="1:17" ht="32.1" customHeight="1" x14ac:dyDescent="0.3">
      <c r="A6" s="17"/>
      <c r="B6" s="363" t="s">
        <v>45</v>
      </c>
      <c r="C6" s="364" t="s">
        <v>163</v>
      </c>
      <c r="D6" s="52" t="s">
        <v>140</v>
      </c>
      <c r="E6" s="52" t="s">
        <v>144</v>
      </c>
      <c r="F6" s="52" t="s">
        <v>783</v>
      </c>
      <c r="G6" s="72"/>
      <c r="H6" s="50">
        <v>6</v>
      </c>
      <c r="I6" s="257"/>
      <c r="K6" s="480"/>
      <c r="L6" s="41"/>
      <c r="M6" s="35"/>
      <c r="N6" s="35"/>
      <c r="O6" s="35"/>
      <c r="P6" s="35"/>
      <c r="Q6" s="17"/>
    </row>
    <row r="7" spans="1:17" ht="32.1" customHeight="1" x14ac:dyDescent="0.3">
      <c r="A7" s="17"/>
      <c r="B7" s="363" t="s">
        <v>46</v>
      </c>
      <c r="C7" s="364" t="s">
        <v>685</v>
      </c>
      <c r="D7" s="52" t="s">
        <v>8</v>
      </c>
      <c r="E7" s="52" t="s">
        <v>827</v>
      </c>
      <c r="F7" s="52" t="s">
        <v>8</v>
      </c>
      <c r="G7" s="72"/>
      <c r="H7" s="50">
        <v>4</v>
      </c>
      <c r="I7" s="257"/>
      <c r="K7" s="480"/>
      <c r="L7" s="35"/>
      <c r="M7" s="35"/>
      <c r="N7" s="35"/>
      <c r="O7" s="35"/>
      <c r="P7" s="35"/>
      <c r="Q7" s="17"/>
    </row>
    <row r="8" spans="1:17" ht="32.1" customHeight="1" x14ac:dyDescent="0.3">
      <c r="A8" s="17"/>
      <c r="B8" s="363" t="s">
        <v>47</v>
      </c>
      <c r="C8" s="364" t="s">
        <v>684</v>
      </c>
      <c r="D8" s="52"/>
      <c r="E8" s="52"/>
      <c r="F8" s="52"/>
      <c r="G8" s="72"/>
      <c r="H8" s="50">
        <v>0</v>
      </c>
      <c r="I8" s="257"/>
      <c r="K8" s="480"/>
      <c r="L8" s="35"/>
      <c r="M8" s="35"/>
      <c r="N8" s="35"/>
      <c r="O8" s="35"/>
      <c r="P8" s="35"/>
      <c r="Q8" s="17"/>
    </row>
    <row r="9" spans="1:17" ht="32.1" customHeight="1" x14ac:dyDescent="0.3">
      <c r="A9" s="17"/>
      <c r="B9" s="363" t="s">
        <v>48</v>
      </c>
      <c r="C9" s="364" t="s">
        <v>686</v>
      </c>
      <c r="D9" s="52" t="s">
        <v>143</v>
      </c>
      <c r="E9" s="52" t="s">
        <v>827</v>
      </c>
      <c r="F9" s="52"/>
      <c r="G9" s="72"/>
      <c r="H9" s="50">
        <v>2</v>
      </c>
      <c r="I9" s="257"/>
      <c r="K9" s="480"/>
      <c r="L9" s="35"/>
      <c r="M9" s="35"/>
      <c r="N9" s="35"/>
      <c r="O9" s="35"/>
      <c r="P9" s="35"/>
      <c r="Q9" s="17"/>
    </row>
    <row r="10" spans="1:17" ht="32.1" customHeight="1" x14ac:dyDescent="0.3">
      <c r="A10" s="17"/>
      <c r="B10" s="363" t="s">
        <v>49</v>
      </c>
      <c r="C10" s="364" t="s">
        <v>687</v>
      </c>
      <c r="D10" s="52" t="s">
        <v>143</v>
      </c>
      <c r="E10" s="52"/>
      <c r="F10" s="52"/>
      <c r="G10" s="72"/>
      <c r="H10" s="50">
        <v>1</v>
      </c>
      <c r="I10" s="257"/>
      <c r="K10" s="480"/>
      <c r="L10" s="35"/>
      <c r="M10" s="35"/>
      <c r="N10" s="35"/>
      <c r="O10" s="35"/>
      <c r="P10" s="35"/>
      <c r="Q10" s="17"/>
    </row>
    <row r="11" spans="1:17" ht="32.1" customHeight="1" x14ac:dyDescent="0.3">
      <c r="A11" s="17"/>
      <c r="B11" s="363" t="s">
        <v>50</v>
      </c>
      <c r="C11" s="29" t="s">
        <v>691</v>
      </c>
      <c r="D11" s="52"/>
      <c r="E11" s="52"/>
      <c r="F11" s="52"/>
      <c r="G11" s="72"/>
      <c r="H11" s="50"/>
      <c r="I11" s="187"/>
      <c r="K11" s="480"/>
      <c r="L11" s="35"/>
      <c r="M11" s="35"/>
      <c r="N11" s="35"/>
      <c r="O11" s="35"/>
      <c r="P11" s="35"/>
      <c r="Q11" s="17"/>
    </row>
    <row r="12" spans="1:17" ht="32.1" customHeight="1" x14ac:dyDescent="0.3">
      <c r="A12" s="17"/>
      <c r="B12" s="363" t="s">
        <v>51</v>
      </c>
      <c r="C12" s="364" t="s">
        <v>688</v>
      </c>
      <c r="D12" s="52" t="s">
        <v>842</v>
      </c>
      <c r="E12" s="52" t="s">
        <v>142</v>
      </c>
      <c r="F12" s="52" t="s">
        <v>8</v>
      </c>
      <c r="G12" s="72"/>
      <c r="H12" s="50">
        <v>5</v>
      </c>
      <c r="I12" s="257"/>
      <c r="K12" s="480"/>
      <c r="L12" s="35"/>
      <c r="M12" s="35"/>
      <c r="N12" s="35"/>
      <c r="O12" s="35"/>
      <c r="P12" s="35"/>
      <c r="Q12" s="17"/>
    </row>
    <row r="13" spans="1:17" ht="32.1" customHeight="1" x14ac:dyDescent="0.3">
      <c r="A13" s="17"/>
      <c r="B13" s="363" t="s">
        <v>52</v>
      </c>
      <c r="C13" s="364" t="s">
        <v>689</v>
      </c>
      <c r="D13" s="52" t="s">
        <v>142</v>
      </c>
      <c r="E13" s="52" t="s">
        <v>8</v>
      </c>
      <c r="F13" s="52"/>
      <c r="G13" s="72"/>
      <c r="H13" s="50">
        <v>2</v>
      </c>
      <c r="I13" s="257"/>
      <c r="K13" s="480"/>
      <c r="L13" s="35"/>
      <c r="M13" s="35"/>
      <c r="N13" s="35"/>
      <c r="O13" s="35"/>
      <c r="P13" s="35"/>
      <c r="Q13" s="17"/>
    </row>
    <row r="14" spans="1:17" ht="32.1" customHeight="1" x14ac:dyDescent="0.3">
      <c r="A14" s="17"/>
      <c r="B14" s="363" t="s">
        <v>53</v>
      </c>
      <c r="C14" s="364" t="s">
        <v>690</v>
      </c>
      <c r="D14" s="52" t="s">
        <v>185</v>
      </c>
      <c r="E14" s="52" t="s">
        <v>783</v>
      </c>
      <c r="F14" s="52" t="s">
        <v>8</v>
      </c>
      <c r="G14" s="72"/>
      <c r="H14" s="50">
        <v>3</v>
      </c>
      <c r="I14" s="257"/>
      <c r="K14" s="480"/>
      <c r="L14" s="35"/>
      <c r="M14" s="35"/>
      <c r="N14" s="35"/>
      <c r="O14" s="35"/>
      <c r="P14" s="35"/>
      <c r="Q14" s="17"/>
    </row>
    <row r="15" spans="1:17" ht="32.1" customHeight="1" x14ac:dyDescent="0.3">
      <c r="A15" s="17"/>
      <c r="B15" s="363" t="s">
        <v>54</v>
      </c>
      <c r="C15" s="364" t="s">
        <v>692</v>
      </c>
      <c r="D15" s="52" t="s">
        <v>140</v>
      </c>
      <c r="E15" s="52"/>
      <c r="F15" s="52"/>
      <c r="G15" s="72"/>
      <c r="H15" s="50">
        <v>1</v>
      </c>
      <c r="I15" s="257"/>
      <c r="K15" s="480"/>
      <c r="L15" s="35"/>
      <c r="M15" s="35"/>
      <c r="N15" s="35"/>
      <c r="O15" s="35"/>
      <c r="P15" s="35"/>
      <c r="Q15" s="17"/>
    </row>
    <row r="16" spans="1:17" ht="32.1" customHeight="1" x14ac:dyDescent="0.3">
      <c r="A16" s="17"/>
      <c r="B16" s="363" t="s">
        <v>55</v>
      </c>
      <c r="C16" s="364" t="s">
        <v>169</v>
      </c>
      <c r="D16" s="52" t="s">
        <v>8</v>
      </c>
      <c r="E16" s="52" t="s">
        <v>783</v>
      </c>
      <c r="F16" s="52" t="s">
        <v>11</v>
      </c>
      <c r="G16" s="72"/>
      <c r="H16" s="50">
        <v>3</v>
      </c>
      <c r="I16" s="257"/>
      <c r="K16" s="480"/>
      <c r="L16" s="35"/>
      <c r="M16" s="35"/>
      <c r="N16" s="35"/>
      <c r="O16" s="35"/>
      <c r="P16" s="35"/>
      <c r="Q16" s="17"/>
    </row>
    <row r="17" spans="1:17" ht="35.25" customHeight="1" x14ac:dyDescent="0.3">
      <c r="A17" s="17"/>
      <c r="B17" s="39"/>
      <c r="C17" s="68"/>
      <c r="D17" s="69" t="s">
        <v>300</v>
      </c>
      <c r="E17" s="69" t="s">
        <v>789</v>
      </c>
      <c r="F17" s="69" t="s">
        <v>455</v>
      </c>
      <c r="G17" s="69"/>
      <c r="H17" s="21"/>
      <c r="J17" s="17"/>
      <c r="K17" s="480"/>
      <c r="L17" s="17"/>
      <c r="M17" s="17"/>
      <c r="N17" s="17"/>
      <c r="O17" s="17"/>
      <c r="P17" s="17"/>
      <c r="Q17" s="17"/>
    </row>
    <row r="18" spans="1:17" ht="30" customHeight="1" x14ac:dyDescent="0.3">
      <c r="A18" s="17"/>
      <c r="B18" s="76"/>
      <c r="C18" s="87" t="s">
        <v>136</v>
      </c>
      <c r="D18" s="49" t="s">
        <v>140</v>
      </c>
      <c r="E18" s="49" t="s">
        <v>842</v>
      </c>
      <c r="F18" s="49" t="s">
        <v>143</v>
      </c>
      <c r="G18" s="70"/>
      <c r="H18" s="21"/>
      <c r="I18" s="87"/>
      <c r="K18" s="480"/>
      <c r="L18" s="17"/>
      <c r="M18" s="17"/>
      <c r="N18" s="17"/>
      <c r="O18" s="17"/>
      <c r="P18" s="17"/>
      <c r="Q18" s="17"/>
    </row>
    <row r="19" spans="1:17" ht="33.75" customHeight="1" x14ac:dyDescent="0.3">
      <c r="A19" s="17"/>
      <c r="B19" s="76"/>
      <c r="C19" s="87" t="s">
        <v>184</v>
      </c>
      <c r="D19" s="51" t="s">
        <v>894</v>
      </c>
      <c r="E19" s="365" t="s">
        <v>895</v>
      </c>
      <c r="F19" s="365" t="s">
        <v>896</v>
      </c>
      <c r="G19" s="70"/>
      <c r="H19" s="296"/>
      <c r="I19" s="87"/>
      <c r="K19" s="480"/>
      <c r="L19" s="17"/>
      <c r="M19" s="17"/>
      <c r="N19" s="17"/>
      <c r="O19" s="17"/>
      <c r="P19" s="17"/>
      <c r="Q19" s="17"/>
    </row>
    <row r="20" spans="1:17" ht="73.5" customHeight="1" x14ac:dyDescent="0.3">
      <c r="A20" s="17"/>
      <c r="B20" s="39"/>
      <c r="C20" s="68"/>
      <c r="D20" s="22"/>
      <c r="E20" s="109"/>
      <c r="F20" s="109"/>
      <c r="G20" s="107"/>
      <c r="H20" s="296"/>
      <c r="K20" s="480"/>
      <c r="L20" s="17"/>
      <c r="M20" s="17"/>
      <c r="N20" s="17"/>
      <c r="O20" s="17"/>
      <c r="P20" s="17"/>
      <c r="Q20" s="17"/>
    </row>
    <row r="21" spans="1:17" ht="30" customHeight="1" x14ac:dyDescent="0.3">
      <c r="A21" s="17"/>
      <c r="B21" s="39"/>
      <c r="C21" s="17"/>
      <c r="D21" s="22"/>
      <c r="E21" s="22"/>
      <c r="F21" s="22"/>
      <c r="G21" s="17"/>
      <c r="H21" s="17"/>
      <c r="I21" s="17"/>
      <c r="K21" s="480"/>
      <c r="L21" s="17"/>
      <c r="M21" s="17"/>
      <c r="N21" s="17"/>
      <c r="O21" s="17"/>
      <c r="P21" s="17"/>
      <c r="Q21" s="17"/>
    </row>
    <row r="22" spans="1:17" ht="15.75" customHeight="1" x14ac:dyDescent="0.3">
      <c r="A22" s="17"/>
      <c r="B22" s="76"/>
      <c r="C22" s="68"/>
      <c r="D22" s="22"/>
      <c r="E22" s="22"/>
      <c r="F22" s="22"/>
      <c r="G22" s="17"/>
      <c r="H22" s="21"/>
      <c r="K22" s="480"/>
      <c r="L22" s="17"/>
      <c r="M22" s="17"/>
      <c r="N22" s="17"/>
      <c r="O22" s="17"/>
      <c r="P22" s="17"/>
      <c r="Q22" s="17"/>
    </row>
    <row r="23" spans="1:17" ht="15.75" customHeight="1" x14ac:dyDescent="0.3">
      <c r="A23" s="17"/>
      <c r="B23" s="76"/>
      <c r="C23" s="68"/>
      <c r="D23" s="22"/>
      <c r="E23" s="22"/>
      <c r="F23" s="22"/>
      <c r="G23" s="17"/>
      <c r="H23" s="21"/>
      <c r="K23" s="480"/>
      <c r="L23" s="17"/>
      <c r="M23" s="17"/>
      <c r="N23" s="17"/>
      <c r="O23" s="17"/>
      <c r="P23" s="17"/>
      <c r="Q23" s="17"/>
    </row>
    <row r="24" spans="1:17" ht="18.75" customHeight="1" x14ac:dyDescent="0.3">
      <c r="A24" s="17"/>
      <c r="B24" s="76"/>
      <c r="C24" s="68"/>
      <c r="D24" s="22"/>
      <c r="E24" s="22"/>
      <c r="F24" s="22"/>
      <c r="G24" s="17"/>
      <c r="H24" s="21"/>
      <c r="K24" s="480"/>
      <c r="L24" s="17"/>
      <c r="M24" s="17"/>
      <c r="N24" s="17"/>
      <c r="O24" s="17"/>
      <c r="P24" s="17"/>
      <c r="Q24" s="17"/>
    </row>
    <row r="25" spans="1:17" ht="26.25" customHeight="1" x14ac:dyDescent="0.3">
      <c r="A25" s="17"/>
      <c r="B25" s="76"/>
      <c r="C25" s="68"/>
      <c r="D25" s="22"/>
      <c r="E25" s="22"/>
      <c r="F25" s="22"/>
      <c r="G25" s="17"/>
      <c r="H25" s="21"/>
      <c r="K25" s="480"/>
      <c r="L25" s="17"/>
      <c r="M25" s="17"/>
      <c r="N25" s="17"/>
      <c r="O25" s="17"/>
      <c r="P25" s="17"/>
      <c r="Q25" s="17"/>
    </row>
    <row r="26" spans="1:17" x14ac:dyDescent="0.3">
      <c r="A26" s="17"/>
      <c r="B26" s="76"/>
      <c r="C26" s="68"/>
      <c r="D26" s="22"/>
      <c r="E26" s="22"/>
      <c r="F26" s="22"/>
      <c r="G26" s="17"/>
      <c r="H26" s="21"/>
      <c r="K26" s="480"/>
    </row>
    <row r="27" spans="1:17" x14ac:dyDescent="0.3">
      <c r="K27" s="480"/>
    </row>
    <row r="28" spans="1:17" x14ac:dyDescent="0.3">
      <c r="K28" s="480"/>
    </row>
    <row r="29" spans="1:17" x14ac:dyDescent="0.3">
      <c r="K29" s="480"/>
    </row>
    <row r="30" spans="1:17" x14ac:dyDescent="0.3">
      <c r="K30" s="480"/>
    </row>
    <row r="31" spans="1:17" x14ac:dyDescent="0.3">
      <c r="K31" s="480"/>
    </row>
    <row r="32" spans="1:17" x14ac:dyDescent="0.3">
      <c r="K32" s="480"/>
    </row>
    <row r="33" spans="11:11" x14ac:dyDescent="0.3">
      <c r="K33" s="480"/>
    </row>
    <row r="34" spans="11:11" x14ac:dyDescent="0.3">
      <c r="K34" s="480"/>
    </row>
    <row r="35" spans="11:11" x14ac:dyDescent="0.3">
      <c r="K35" s="480"/>
    </row>
    <row r="36" spans="11:11" x14ac:dyDescent="0.3">
      <c r="K36" s="480"/>
    </row>
    <row r="37" spans="11:11" x14ac:dyDescent="0.3">
      <c r="K37" s="480"/>
    </row>
    <row r="38" spans="11:11" x14ac:dyDescent="0.3">
      <c r="K38" s="480"/>
    </row>
    <row r="39" spans="11:11" x14ac:dyDescent="0.3">
      <c r="K39" s="480"/>
    </row>
    <row r="40" spans="11:11" x14ac:dyDescent="0.3">
      <c r="K40" s="480"/>
    </row>
    <row r="41" spans="11:11" x14ac:dyDescent="0.3">
      <c r="K41" s="480"/>
    </row>
    <row r="42" spans="11:11" x14ac:dyDescent="0.3">
      <c r="K42" s="480"/>
    </row>
    <row r="43" spans="11:11" x14ac:dyDescent="0.3">
      <c r="K43" s="480"/>
    </row>
    <row r="44" spans="11:11" x14ac:dyDescent="0.3">
      <c r="K44" s="480"/>
    </row>
    <row r="45" spans="11:11" x14ac:dyDescent="0.3">
      <c r="K45" s="480"/>
    </row>
    <row r="46" spans="11:11" x14ac:dyDescent="0.3">
      <c r="K46" s="480"/>
    </row>
    <row r="47" spans="11:11" x14ac:dyDescent="0.3">
      <c r="K47" s="480"/>
    </row>
  </sheetData>
  <customSheetViews>
    <customSheetView guid="{468281ED-4ADC-4BB5-9EE5-E9016B5EB30D}" scale="111">
      <selection activeCell="C2" sqref="C2"/>
      <pageMargins left="0.31496062992125984" right="0.31496062992125984" top="0.74803149606299213" bottom="0.74803149606299213" header="0" footer="0.31496062992125984"/>
      <pageSetup paperSize="9" orientation="portrait" horizontalDpi="4294967293" r:id="rId1"/>
    </customSheetView>
  </customSheetViews>
  <mergeCells count="1">
    <mergeCell ref="K3:K47"/>
  </mergeCells>
  <pageMargins left="0.25" right="0.25" top="0.75" bottom="0.75" header="0.3" footer="0.3"/>
  <pageSetup paperSize="9" orientation="portrait" horizontalDpi="4294967293" r:id="rId2"/>
  <drawing r:id="rId3"/>
  <legacyDrawing r:id="rId4"/>
  <controls>
    <mc:AlternateContent xmlns:mc="http://schemas.openxmlformats.org/markup-compatibility/2006">
      <mc:Choice Requires="x14">
        <control shapeId="4097" r:id="rId5" name="CommandButton1">
          <controlPr locked="0" defaultSize="0" autoLine="0" r:id="rId6">
            <anchor moveWithCells="1">
              <from>
                <xdr:col>10</xdr:col>
                <xdr:colOff>121920</xdr:colOff>
                <xdr:row>0</xdr:row>
                <xdr:rowOff>0</xdr:rowOff>
              </from>
              <to>
                <xdr:col>11</xdr:col>
                <xdr:colOff>251460</xdr:colOff>
                <xdr:row>1</xdr:row>
                <xdr:rowOff>144780</xdr:rowOff>
              </to>
            </anchor>
          </controlPr>
        </control>
      </mc:Choice>
      <mc:Fallback>
        <control shapeId="4097" r:id="rId5" name="CommandButton1"/>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acti_pots"/>
  <dimension ref="A1:M33"/>
  <sheetViews>
    <sheetView topLeftCell="B1" zoomScaleNormal="100" workbookViewId="0">
      <selection activeCell="C2" sqref="C2"/>
    </sheetView>
  </sheetViews>
  <sheetFormatPr defaultColWidth="9.109375" defaultRowHeight="15.6" x14ac:dyDescent="0.3"/>
  <cols>
    <col min="1" max="1" width="3.5546875" style="44" customWidth="1"/>
    <col min="2" max="2" width="4" style="5" customWidth="1"/>
    <col min="3" max="3" width="21.88671875" style="6" customWidth="1"/>
    <col min="4" max="6" width="18.5546875" style="1" customWidth="1"/>
    <col min="7" max="7" width="1.109375" style="1" customWidth="1"/>
    <col min="8" max="8" width="5" style="44" customWidth="1"/>
    <col min="9" max="9" width="3.5546875" style="35" customWidth="1"/>
    <col min="10" max="10" width="4.44140625" customWidth="1"/>
    <col min="11" max="11" width="27.109375" style="11" customWidth="1"/>
    <col min="12" max="13" width="18.5546875" style="11" customWidth="1"/>
    <col min="14" max="16384" width="9.109375" style="1"/>
  </cols>
  <sheetData>
    <row r="1" spans="1:13" s="175" customFormat="1" ht="27" customHeight="1" x14ac:dyDescent="0.3">
      <c r="A1" s="30"/>
      <c r="B1" s="259" t="s">
        <v>277</v>
      </c>
      <c r="C1" s="187"/>
      <c r="D1" s="39"/>
      <c r="E1" s="334"/>
      <c r="F1" s="335" t="s">
        <v>667</v>
      </c>
      <c r="G1" s="174"/>
      <c r="H1" s="30"/>
      <c r="I1" s="37"/>
      <c r="K1" s="7"/>
      <c r="L1" s="7"/>
      <c r="M1" s="7"/>
    </row>
    <row r="2" spans="1:13" s="4" customFormat="1" ht="39.75" customHeight="1" x14ac:dyDescent="0.3">
      <c r="A2" s="38"/>
      <c r="B2" s="76"/>
      <c r="C2" s="353"/>
      <c r="D2" s="53" t="s">
        <v>1</v>
      </c>
      <c r="E2" s="53" t="s">
        <v>2</v>
      </c>
      <c r="F2" s="53" t="s">
        <v>3</v>
      </c>
      <c r="G2" s="36"/>
      <c r="H2" s="77" t="s">
        <v>7</v>
      </c>
      <c r="I2" s="34"/>
      <c r="K2" s="12"/>
      <c r="L2" s="12"/>
      <c r="M2" s="12"/>
    </row>
    <row r="3" spans="1:13" ht="27.75" customHeight="1" x14ac:dyDescent="0.3">
      <c r="A3" s="21"/>
      <c r="B3" s="27" t="s">
        <v>258</v>
      </c>
      <c r="C3" s="28"/>
      <c r="D3" s="37"/>
      <c r="E3" s="37"/>
      <c r="F3" s="37"/>
      <c r="G3" s="36"/>
      <c r="H3" s="53"/>
      <c r="I3" s="38"/>
      <c r="J3" s="66"/>
      <c r="K3" s="14"/>
      <c r="L3" s="14"/>
      <c r="M3" s="14"/>
    </row>
    <row r="4" spans="1:13" ht="24.9" customHeight="1" x14ac:dyDescent="0.3">
      <c r="A4" s="21"/>
      <c r="B4" s="179" t="s">
        <v>57</v>
      </c>
      <c r="C4" s="29" t="s">
        <v>58</v>
      </c>
      <c r="D4" s="52" t="s">
        <v>9</v>
      </c>
      <c r="E4" s="52"/>
      <c r="F4" s="52"/>
      <c r="G4" s="17"/>
      <c r="H4" s="50">
        <v>1</v>
      </c>
      <c r="I4" s="38"/>
      <c r="K4" s="14"/>
      <c r="L4" s="14"/>
      <c r="M4" s="14"/>
    </row>
    <row r="5" spans="1:13" ht="24.9" customHeight="1" x14ac:dyDescent="0.3">
      <c r="A5" s="21"/>
      <c r="B5" s="19" t="s">
        <v>59</v>
      </c>
      <c r="C5" s="29" t="s">
        <v>60</v>
      </c>
      <c r="D5" s="52" t="s">
        <v>809</v>
      </c>
      <c r="E5" s="52" t="s">
        <v>809</v>
      </c>
      <c r="F5" s="52"/>
      <c r="G5" s="17"/>
      <c r="H5" s="50">
        <v>2</v>
      </c>
      <c r="I5" s="38"/>
      <c r="K5" s="14"/>
      <c r="L5" s="14"/>
      <c r="M5" s="14"/>
    </row>
    <row r="6" spans="1:13" ht="24.9" customHeight="1" x14ac:dyDescent="0.3">
      <c r="A6" s="21"/>
      <c r="B6" s="19" t="s">
        <v>61</v>
      </c>
      <c r="C6" s="29" t="s">
        <v>62</v>
      </c>
      <c r="D6" s="52" t="s">
        <v>10</v>
      </c>
      <c r="E6" s="52" t="s">
        <v>143</v>
      </c>
      <c r="F6" s="52" t="s">
        <v>185</v>
      </c>
      <c r="G6" s="17"/>
      <c r="H6" s="50">
        <v>4</v>
      </c>
      <c r="I6" s="38"/>
      <c r="K6" s="14"/>
      <c r="L6" s="14"/>
      <c r="M6" s="14"/>
    </row>
    <row r="7" spans="1:13" ht="18.600000000000001" customHeight="1" x14ac:dyDescent="0.3">
      <c r="A7" s="21"/>
      <c r="B7" s="76"/>
      <c r="C7" s="188"/>
      <c r="D7" s="40" t="s">
        <v>173</v>
      </c>
      <c r="E7" s="26"/>
      <c r="F7" s="26"/>
      <c r="G7" s="17"/>
      <c r="H7" s="54"/>
      <c r="I7" s="38"/>
      <c r="K7" s="14"/>
      <c r="L7" s="14"/>
      <c r="M7" s="14"/>
    </row>
    <row r="8" spans="1:13" ht="24.9" customHeight="1" x14ac:dyDescent="0.3">
      <c r="A8" s="21"/>
      <c r="B8" s="30"/>
      <c r="C8" s="19" t="s">
        <v>136</v>
      </c>
      <c r="D8" s="52" t="s">
        <v>10</v>
      </c>
      <c r="E8" s="53"/>
      <c r="F8" s="72"/>
      <c r="G8" s="17"/>
      <c r="H8" s="21"/>
      <c r="I8" s="38"/>
      <c r="K8" s="14"/>
      <c r="L8" s="14"/>
      <c r="M8" s="14"/>
    </row>
    <row r="9" spans="1:13" ht="24.9" customHeight="1" x14ac:dyDescent="0.35">
      <c r="A9" s="21"/>
      <c r="B9" s="33" t="s">
        <v>259</v>
      </c>
      <c r="C9" s="32"/>
      <c r="D9" s="25"/>
      <c r="E9" s="355"/>
      <c r="F9" s="25"/>
      <c r="G9" s="17"/>
      <c r="H9" s="21"/>
      <c r="I9" s="38"/>
      <c r="K9" s="14"/>
      <c r="L9" s="14"/>
      <c r="M9" s="14"/>
    </row>
    <row r="10" spans="1:13" ht="24.75" customHeight="1" x14ac:dyDescent="0.3">
      <c r="A10" s="21"/>
      <c r="B10" s="19" t="s">
        <v>63</v>
      </c>
      <c r="C10" s="20" t="s">
        <v>176</v>
      </c>
      <c r="D10" s="49" t="s">
        <v>11</v>
      </c>
      <c r="E10" s="49" t="s">
        <v>185</v>
      </c>
      <c r="F10" s="49"/>
      <c r="G10" s="17"/>
      <c r="H10" s="354">
        <v>2</v>
      </c>
      <c r="I10" s="38"/>
      <c r="K10" s="14"/>
      <c r="L10" s="14"/>
      <c r="M10" s="14"/>
    </row>
    <row r="11" spans="1:13" ht="24.9" customHeight="1" x14ac:dyDescent="0.3">
      <c r="A11" s="21"/>
      <c r="B11" s="19" t="s">
        <v>64</v>
      </c>
      <c r="C11" s="20" t="s">
        <v>174</v>
      </c>
      <c r="D11" s="49" t="s">
        <v>185</v>
      </c>
      <c r="E11" s="49" t="s">
        <v>10</v>
      </c>
      <c r="F11" s="49" t="s">
        <v>143</v>
      </c>
      <c r="G11" s="17"/>
      <c r="H11" s="50">
        <v>4</v>
      </c>
      <c r="I11" s="38"/>
      <c r="K11" s="14"/>
      <c r="L11" s="14"/>
      <c r="M11" s="14"/>
    </row>
    <row r="12" spans="1:13" ht="24.9" customHeight="1" x14ac:dyDescent="0.3">
      <c r="A12" s="21"/>
      <c r="B12" s="19" t="s">
        <v>65</v>
      </c>
      <c r="C12" s="20" t="s">
        <v>175</v>
      </c>
      <c r="D12" s="49" t="s">
        <v>11</v>
      </c>
      <c r="E12" s="49" t="s">
        <v>10</v>
      </c>
      <c r="F12" s="49"/>
      <c r="G12" s="17"/>
      <c r="H12" s="50">
        <v>2</v>
      </c>
      <c r="I12" s="38"/>
      <c r="K12" s="14"/>
      <c r="L12" s="14"/>
      <c r="M12" s="14"/>
    </row>
    <row r="13" spans="1:13" ht="24.9" customHeight="1" x14ac:dyDescent="0.3">
      <c r="A13" s="21"/>
      <c r="B13" s="19" t="s">
        <v>66</v>
      </c>
      <c r="C13" s="20" t="s">
        <v>177</v>
      </c>
      <c r="D13" s="49" t="s">
        <v>142</v>
      </c>
      <c r="E13" s="49" t="s">
        <v>142</v>
      </c>
      <c r="F13" s="49"/>
      <c r="G13" s="17"/>
      <c r="H13" s="50">
        <v>2</v>
      </c>
      <c r="I13" s="38"/>
      <c r="K13" s="14"/>
      <c r="L13" s="14"/>
      <c r="M13" s="14"/>
    </row>
    <row r="14" spans="1:13" ht="24.9" customHeight="1" x14ac:dyDescent="0.3">
      <c r="A14" s="21"/>
      <c r="B14" s="19" t="s">
        <v>67</v>
      </c>
      <c r="C14" s="20" t="s">
        <v>333</v>
      </c>
      <c r="D14" s="49" t="s">
        <v>142</v>
      </c>
      <c r="E14" s="49" t="s">
        <v>142</v>
      </c>
      <c r="F14" s="49"/>
      <c r="G14" s="17"/>
      <c r="H14" s="50">
        <v>2</v>
      </c>
      <c r="I14" s="38"/>
      <c r="K14" s="14"/>
      <c r="L14" s="14"/>
      <c r="M14" s="14"/>
    </row>
    <row r="15" spans="1:13" ht="24.9" customHeight="1" x14ac:dyDescent="0.3">
      <c r="A15" s="21"/>
      <c r="B15" s="19" t="s">
        <v>332</v>
      </c>
      <c r="C15" s="20" t="s">
        <v>457</v>
      </c>
      <c r="D15" s="49" t="s">
        <v>185</v>
      </c>
      <c r="E15" s="49" t="s">
        <v>236</v>
      </c>
      <c r="F15" s="49" t="s">
        <v>910</v>
      </c>
      <c r="G15" s="17"/>
      <c r="H15" s="50"/>
      <c r="I15" s="38"/>
      <c r="K15" s="14"/>
      <c r="L15" s="14"/>
      <c r="M15" s="14"/>
    </row>
    <row r="16" spans="1:13" ht="12.6" customHeight="1" x14ac:dyDescent="0.3">
      <c r="A16" s="21"/>
      <c r="B16" s="30"/>
      <c r="C16" s="42"/>
      <c r="D16" s="42"/>
      <c r="E16" s="42"/>
      <c r="F16" s="42"/>
      <c r="G16" s="17"/>
      <c r="H16" s="21"/>
      <c r="I16" s="38"/>
      <c r="K16" s="14"/>
      <c r="L16" s="14"/>
      <c r="M16" s="14"/>
    </row>
    <row r="17" spans="1:13" ht="29.4" customHeight="1" x14ac:dyDescent="0.3">
      <c r="A17" s="21"/>
      <c r="B17" s="30"/>
      <c r="C17" s="188"/>
      <c r="D17" s="53" t="s">
        <v>496</v>
      </c>
      <c r="E17" s="53" t="s">
        <v>456</v>
      </c>
      <c r="F17" s="53" t="s">
        <v>137</v>
      </c>
      <c r="G17" s="17"/>
      <c r="H17" s="21"/>
      <c r="I17" s="38"/>
      <c r="K17" s="14"/>
      <c r="L17" s="14"/>
      <c r="M17" s="14"/>
    </row>
    <row r="18" spans="1:13" ht="35.25" customHeight="1" x14ac:dyDescent="0.3">
      <c r="A18" s="21"/>
      <c r="B18" s="76"/>
      <c r="C18" s="276" t="s">
        <v>136</v>
      </c>
      <c r="D18" s="52" t="s">
        <v>185</v>
      </c>
      <c r="E18" s="52" t="s">
        <v>185</v>
      </c>
      <c r="F18" s="52" t="s">
        <v>142</v>
      </c>
      <c r="G18" s="17"/>
      <c r="H18" s="21"/>
      <c r="I18" s="38"/>
      <c r="K18" s="14"/>
      <c r="L18" s="14"/>
      <c r="M18" s="14"/>
    </row>
    <row r="19" spans="1:13" ht="25.5" customHeight="1" x14ac:dyDescent="0.3">
      <c r="A19" s="21"/>
      <c r="B19" s="76"/>
      <c r="C19" s="87" t="s">
        <v>183</v>
      </c>
      <c r="D19" s="51" t="s">
        <v>902</v>
      </c>
      <c r="E19" s="51" t="s">
        <v>901</v>
      </c>
      <c r="F19" s="51" t="s">
        <v>903</v>
      </c>
      <c r="G19" s="17"/>
      <c r="H19" s="21"/>
      <c r="I19" s="38"/>
      <c r="K19" s="14"/>
      <c r="L19" s="14"/>
      <c r="M19" s="14"/>
    </row>
    <row r="20" spans="1:13" ht="42.9" customHeight="1" x14ac:dyDescent="0.35">
      <c r="A20" s="21"/>
      <c r="B20" s="33" t="s">
        <v>266</v>
      </c>
      <c r="C20" s="32"/>
      <c r="D20" s="25"/>
      <c r="E20" s="25"/>
      <c r="F20" s="25"/>
      <c r="G20" s="17"/>
      <c r="H20" s="21"/>
      <c r="K20" s="14"/>
      <c r="L20" s="14"/>
      <c r="M20" s="14"/>
    </row>
    <row r="21" spans="1:13" ht="24.75" customHeight="1" x14ac:dyDescent="0.3">
      <c r="A21" s="21"/>
      <c r="B21" s="19" t="s">
        <v>68</v>
      </c>
      <c r="C21" s="366" t="s">
        <v>693</v>
      </c>
      <c r="D21" s="52" t="s">
        <v>144</v>
      </c>
      <c r="E21" s="52"/>
      <c r="F21" s="52"/>
      <c r="G21" s="17"/>
      <c r="H21" s="50"/>
      <c r="K21" s="14"/>
      <c r="L21" s="14"/>
      <c r="M21" s="14"/>
    </row>
    <row r="22" spans="1:13" ht="29.25" customHeight="1" x14ac:dyDescent="0.3">
      <c r="A22" s="21"/>
      <c r="B22" s="19" t="s">
        <v>69</v>
      </c>
      <c r="C22" s="366" t="s">
        <v>452</v>
      </c>
      <c r="D22" s="52" t="s">
        <v>144</v>
      </c>
      <c r="E22" s="52"/>
      <c r="F22" s="52"/>
      <c r="G22" s="17"/>
      <c r="H22" s="50"/>
      <c r="K22" s="14"/>
      <c r="L22" s="14"/>
      <c r="M22" s="14"/>
    </row>
    <row r="23" spans="1:13" ht="47.25" customHeight="1" x14ac:dyDescent="0.3">
      <c r="A23" s="21"/>
      <c r="B23" s="19" t="s">
        <v>71</v>
      </c>
      <c r="C23" s="366" t="s">
        <v>694</v>
      </c>
      <c r="D23" s="52" t="s">
        <v>144</v>
      </c>
      <c r="E23" s="52"/>
      <c r="F23" s="52"/>
      <c r="G23" s="17"/>
      <c r="H23" s="50"/>
      <c r="K23" s="14"/>
      <c r="L23" s="14"/>
      <c r="M23" s="14"/>
    </row>
    <row r="24" spans="1:13" ht="31.5" customHeight="1" x14ac:dyDescent="0.35">
      <c r="A24" s="21"/>
      <c r="B24" s="31"/>
      <c r="C24" s="332"/>
      <c r="D24" s="69" t="s">
        <v>445</v>
      </c>
      <c r="E24" s="332"/>
      <c r="F24" s="17"/>
      <c r="G24" s="17"/>
      <c r="H24" s="21"/>
      <c r="K24" s="14"/>
      <c r="L24" s="14"/>
      <c r="M24" s="14"/>
    </row>
    <row r="25" spans="1:13" ht="33.6" customHeight="1" x14ac:dyDescent="0.35">
      <c r="A25" s="21"/>
      <c r="B25" s="33"/>
      <c r="C25" s="87" t="s">
        <v>210</v>
      </c>
      <c r="D25" s="352" t="s">
        <v>144</v>
      </c>
      <c r="E25" s="17"/>
      <c r="F25" s="17"/>
      <c r="G25" s="17"/>
      <c r="H25" s="21"/>
      <c r="K25" s="14"/>
      <c r="L25" s="14"/>
      <c r="M25" s="14"/>
    </row>
    <row r="26" spans="1:13" ht="30" customHeight="1" x14ac:dyDescent="0.3">
      <c r="A26" s="21"/>
      <c r="B26" s="30"/>
      <c r="C26" s="277" t="s">
        <v>6</v>
      </c>
      <c r="D26" s="367" t="s">
        <v>889</v>
      </c>
      <c r="E26" s="17"/>
      <c r="F26" s="17"/>
      <c r="G26" s="17"/>
      <c r="H26" s="21"/>
      <c r="I26" s="17"/>
      <c r="J26" s="1"/>
      <c r="K26" s="15"/>
      <c r="L26" s="15"/>
      <c r="M26" s="15"/>
    </row>
    <row r="27" spans="1:13" ht="21.6" customHeight="1" x14ac:dyDescent="0.35">
      <c r="A27" s="21"/>
      <c r="B27" s="33"/>
      <c r="C27" s="188"/>
      <c r="D27" s="17"/>
      <c r="E27" s="109"/>
      <c r="F27" s="109"/>
      <c r="G27" s="17"/>
      <c r="H27" s="21"/>
      <c r="K27" s="14"/>
      <c r="L27" s="14"/>
      <c r="M27" s="14"/>
    </row>
    <row r="28" spans="1:13" ht="16.649999999999999" customHeight="1" x14ac:dyDescent="0.3">
      <c r="A28" s="21"/>
      <c r="B28" s="76"/>
      <c r="C28" s="188"/>
      <c r="D28" s="17"/>
      <c r="E28" s="17"/>
      <c r="F28" s="17"/>
      <c r="G28" s="17"/>
      <c r="H28" s="32"/>
      <c r="I28" s="38"/>
      <c r="K28" s="14"/>
      <c r="L28" s="14"/>
      <c r="M28" s="14"/>
    </row>
    <row r="29" spans="1:13" ht="30.75" customHeight="1" x14ac:dyDescent="0.3">
      <c r="A29" s="21"/>
      <c r="B29" s="76"/>
      <c r="C29" s="188"/>
      <c r="D29" s="17"/>
      <c r="E29" s="17"/>
      <c r="F29" s="17"/>
      <c r="G29" s="17"/>
      <c r="H29" s="42"/>
      <c r="K29" s="12"/>
      <c r="L29" s="12"/>
      <c r="M29" s="12"/>
    </row>
    <row r="30" spans="1:13" ht="12" customHeight="1" x14ac:dyDescent="0.3">
      <c r="A30" s="21"/>
      <c r="B30" s="76"/>
      <c r="C30" s="188"/>
      <c r="D30" s="17"/>
      <c r="E30" s="17"/>
      <c r="F30" s="17"/>
      <c r="G30" s="17"/>
      <c r="H30" s="42"/>
      <c r="K30" s="12"/>
      <c r="L30" s="12"/>
      <c r="M30" s="12"/>
    </row>
    <row r="31" spans="1:13" ht="15.75" customHeight="1" x14ac:dyDescent="0.3">
      <c r="A31" s="21"/>
      <c r="B31" s="76"/>
      <c r="C31" s="188"/>
      <c r="D31" s="17"/>
      <c r="E31" s="17"/>
      <c r="F31" s="17"/>
      <c r="G31" s="109"/>
      <c r="H31" s="109"/>
      <c r="I31" s="109"/>
      <c r="K31" s="12"/>
      <c r="L31" s="12"/>
      <c r="M31" s="12"/>
    </row>
    <row r="32" spans="1:13" ht="23.25" customHeight="1" x14ac:dyDescent="0.3">
      <c r="A32" s="21"/>
      <c r="B32" s="76"/>
      <c r="C32" s="188"/>
      <c r="D32" s="17"/>
      <c r="E32" s="17"/>
      <c r="F32" s="17"/>
      <c r="G32" s="109"/>
      <c r="H32" s="109"/>
      <c r="I32" s="109"/>
      <c r="K32" s="12"/>
      <c r="L32" s="12"/>
      <c r="M32" s="12"/>
    </row>
    <row r="33" spans="7:13" ht="2.25" customHeight="1" x14ac:dyDescent="0.3">
      <c r="G33" s="17"/>
      <c r="H33" s="21"/>
      <c r="K33" s="12"/>
      <c r="L33" s="12"/>
      <c r="M33" s="12"/>
    </row>
  </sheetData>
  <customSheetViews>
    <customSheetView guid="{468281ED-4ADC-4BB5-9EE5-E9016B5EB30D}" showPageBreaks="1" printArea="1" topLeftCell="B1">
      <selection activeCell="L40" sqref="L40"/>
      <pageMargins left="0.31496062992125984" right="0.31496062992125984" top="0.78740157480314965" bottom="0.15748031496062992" header="0" footer="0.31496062992125984"/>
      <printOptions horizontalCentered="1"/>
      <pageSetup paperSize="9" orientation="portrait" horizontalDpi="4294967293" r:id="rId1"/>
    </customSheetView>
  </customSheetViews>
  <printOptions horizontalCentered="1"/>
  <pageMargins left="0.31496062992125984" right="0.31496062992125984" top="0.78740157480314965" bottom="0.15748031496062992" header="0" footer="0.31496062992125984"/>
  <pageSetup paperSize="9" orientation="portrait" horizontalDpi="4294967293" r:id="rId2"/>
  <drawing r:id="rId3"/>
  <legacyDrawing r:id="rId4"/>
  <controls>
    <mc:AlternateContent xmlns:mc="http://schemas.openxmlformats.org/markup-compatibility/2006">
      <mc:Choice Requires="x14">
        <control shapeId="21508" r:id="rId5" name="CommandButton3">
          <controlPr locked="0" defaultSize="0" autoLine="0" r:id="rId6">
            <anchor moveWithCells="1">
              <from>
                <xdr:col>10</xdr:col>
                <xdr:colOff>30480</xdr:colOff>
                <xdr:row>2</xdr:row>
                <xdr:rowOff>266700</xdr:rowOff>
              </from>
              <to>
                <xdr:col>10</xdr:col>
                <xdr:colOff>1691640</xdr:colOff>
                <xdr:row>4</xdr:row>
                <xdr:rowOff>38100</xdr:rowOff>
              </to>
            </anchor>
          </controlPr>
        </control>
      </mc:Choice>
      <mc:Fallback>
        <control shapeId="21508" r:id="rId5" name="CommandButton3"/>
      </mc:Fallback>
    </mc:AlternateContent>
    <mc:AlternateContent xmlns:mc="http://schemas.openxmlformats.org/markup-compatibility/2006">
      <mc:Choice Requires="x14">
        <control shapeId="21507" r:id="rId7" name="CommandButton2">
          <controlPr locked="0" defaultSize="0" autoLine="0" r:id="rId8">
            <anchor moveWithCells="1">
              <from>
                <xdr:col>10</xdr:col>
                <xdr:colOff>45720</xdr:colOff>
                <xdr:row>1</xdr:row>
                <xdr:rowOff>297180</xdr:rowOff>
              </from>
              <to>
                <xdr:col>10</xdr:col>
                <xdr:colOff>1706880</xdr:colOff>
                <xdr:row>2</xdr:row>
                <xdr:rowOff>228600</xdr:rowOff>
              </to>
            </anchor>
          </controlPr>
        </control>
      </mc:Choice>
      <mc:Fallback>
        <control shapeId="21507" r:id="rId7" name="CommandButton2"/>
      </mc:Fallback>
    </mc:AlternateContent>
    <mc:AlternateContent xmlns:mc="http://schemas.openxmlformats.org/markup-compatibility/2006">
      <mc:Choice Requires="x14">
        <control shapeId="21505" r:id="rId9" name="CommandButton1">
          <controlPr locked="0" defaultSize="0" autoLine="0" r:id="rId10">
            <anchor moveWithCells="1">
              <from>
                <xdr:col>10</xdr:col>
                <xdr:colOff>0</xdr:colOff>
                <xdr:row>0</xdr:row>
                <xdr:rowOff>144780</xdr:rowOff>
              </from>
              <to>
                <xdr:col>10</xdr:col>
                <xdr:colOff>1661160</xdr:colOff>
                <xdr:row>1</xdr:row>
                <xdr:rowOff>236220</xdr:rowOff>
              </to>
            </anchor>
          </controlPr>
        </control>
      </mc:Choice>
      <mc:Fallback>
        <control shapeId="21505" r:id="rId9" name="CommandButton1"/>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containers"/>
  <dimension ref="A1:O38"/>
  <sheetViews>
    <sheetView zoomScale="96" zoomScaleNormal="85" zoomScaleSheetLayoutView="100" workbookViewId="0">
      <selection activeCell="C2" sqref="C2"/>
    </sheetView>
  </sheetViews>
  <sheetFormatPr defaultColWidth="9.109375" defaultRowHeight="15.6" x14ac:dyDescent="0.3"/>
  <cols>
    <col min="1" max="1" width="4.88671875" style="44" customWidth="1"/>
    <col min="2" max="2" width="5.109375" style="5" customWidth="1"/>
    <col min="3" max="3" width="18.5546875" style="6" customWidth="1"/>
    <col min="4" max="6" width="18.5546875" style="1" customWidth="1"/>
    <col min="7" max="7" width="1.44140625" style="1" customWidth="1"/>
    <col min="8" max="8" width="6.44140625" style="44" customWidth="1"/>
    <col min="9" max="10" width="4.44140625" style="1" customWidth="1"/>
    <col min="11" max="11" width="29.44140625" style="35" hidden="1" customWidth="1"/>
    <col min="12" max="15" width="18.5546875" style="11" customWidth="1"/>
    <col min="16" max="16384" width="9.109375" style="1"/>
  </cols>
  <sheetData>
    <row r="1" spans="1:15" ht="24.75" customHeight="1" x14ac:dyDescent="0.3">
      <c r="A1" s="21"/>
      <c r="B1" s="76"/>
      <c r="C1" s="188"/>
      <c r="D1" s="17"/>
      <c r="E1" s="17"/>
      <c r="F1" s="17"/>
      <c r="G1" s="17"/>
      <c r="H1" s="21"/>
      <c r="I1" s="17"/>
      <c r="J1" s="17"/>
    </row>
    <row r="2" spans="1:15" s="10" customFormat="1" ht="24.9" customHeight="1" x14ac:dyDescent="0.4">
      <c r="A2" s="63"/>
      <c r="B2" s="420" t="s">
        <v>435</v>
      </c>
      <c r="C2" s="421"/>
      <c r="D2" s="422"/>
      <c r="E2" s="423"/>
      <c r="F2" s="422"/>
      <c r="G2" s="422"/>
      <c r="H2" s="294" t="s">
        <v>668</v>
      </c>
      <c r="I2" s="295"/>
      <c r="J2" s="295"/>
      <c r="K2" s="424"/>
      <c r="L2" s="178"/>
      <c r="M2" s="178"/>
      <c r="N2" s="178"/>
      <c r="O2" s="178"/>
    </row>
    <row r="3" spans="1:15" s="3" customFormat="1" ht="22.5" customHeight="1" x14ac:dyDescent="0.3">
      <c r="A3" s="30"/>
      <c r="B3" s="40"/>
      <c r="C3" s="425"/>
      <c r="D3" s="40"/>
      <c r="E3" s="40"/>
      <c r="F3" s="77"/>
      <c r="G3" s="40"/>
      <c r="H3" s="481" t="s">
        <v>7</v>
      </c>
      <c r="I3" s="40"/>
      <c r="J3" s="36"/>
      <c r="K3" s="483" t="s">
        <v>441</v>
      </c>
      <c r="L3" s="7"/>
      <c r="M3" s="7"/>
      <c r="N3" s="7"/>
      <c r="O3" s="7"/>
    </row>
    <row r="4" spans="1:15" ht="19.5" customHeight="1" x14ac:dyDescent="0.35">
      <c r="A4" s="21"/>
      <c r="B4" s="17"/>
      <c r="C4" s="67"/>
      <c r="D4" s="40"/>
      <c r="E4" s="426"/>
      <c r="F4" s="427"/>
      <c r="G4" s="428"/>
      <c r="H4" s="482"/>
      <c r="I4" s="17"/>
      <c r="J4" s="17"/>
      <c r="K4" s="483"/>
      <c r="L4" s="14"/>
      <c r="M4" s="14"/>
      <c r="N4" s="14"/>
      <c r="O4" s="14"/>
    </row>
    <row r="5" spans="1:15" ht="24.9" customHeight="1" x14ac:dyDescent="0.3">
      <c r="A5" s="21"/>
      <c r="B5" s="17"/>
      <c r="C5" s="17"/>
      <c r="D5" s="53" t="s">
        <v>1</v>
      </c>
      <c r="E5" s="53" t="s">
        <v>2</v>
      </c>
      <c r="F5" s="53" t="s">
        <v>3</v>
      </c>
      <c r="G5" s="36"/>
      <c r="H5" s="482"/>
      <c r="I5" s="17"/>
      <c r="J5" s="17"/>
      <c r="K5" s="483"/>
      <c r="L5" s="14"/>
      <c r="M5" s="14"/>
      <c r="N5" s="14"/>
      <c r="O5" s="14"/>
    </row>
    <row r="6" spans="1:15" ht="24.9" customHeight="1" x14ac:dyDescent="0.35">
      <c r="A6" s="21"/>
      <c r="B6" s="33" t="s">
        <v>453</v>
      </c>
      <c r="C6" s="17"/>
      <c r="D6" s="37"/>
      <c r="E6" s="37"/>
      <c r="F6" s="37"/>
      <c r="G6" s="36"/>
      <c r="H6" s="77"/>
      <c r="I6" s="17"/>
      <c r="J6" s="17"/>
      <c r="K6" s="483"/>
      <c r="L6" s="14"/>
      <c r="M6" s="14"/>
      <c r="N6" s="14"/>
      <c r="O6" s="14"/>
    </row>
    <row r="7" spans="1:15" ht="35.25" customHeight="1" x14ac:dyDescent="0.3">
      <c r="A7" s="21"/>
      <c r="B7" s="19" t="s">
        <v>72</v>
      </c>
      <c r="C7" s="29" t="s">
        <v>73</v>
      </c>
      <c r="D7" s="52" t="s">
        <v>143</v>
      </c>
      <c r="E7" s="52" t="s">
        <v>185</v>
      </c>
      <c r="F7" s="52"/>
      <c r="G7" s="17"/>
      <c r="H7" s="50">
        <v>2</v>
      </c>
      <c r="I7" s="17"/>
      <c r="J7" s="17"/>
      <c r="K7" s="483"/>
      <c r="L7" s="14"/>
      <c r="M7" s="14"/>
      <c r="N7" s="14"/>
      <c r="O7" s="14"/>
    </row>
    <row r="8" spans="1:15" ht="24.9" customHeight="1" x14ac:dyDescent="0.3">
      <c r="A8" s="21"/>
      <c r="B8" s="30"/>
      <c r="C8" s="32"/>
      <c r="D8" s="255" t="s">
        <v>278</v>
      </c>
      <c r="E8" s="70"/>
      <c r="F8" s="70"/>
      <c r="G8" s="17"/>
      <c r="H8" s="54"/>
      <c r="I8" s="17"/>
      <c r="J8" s="17"/>
      <c r="K8" s="483"/>
      <c r="L8" s="14"/>
      <c r="M8" s="14"/>
      <c r="N8" s="14"/>
      <c r="O8" s="14"/>
    </row>
    <row r="9" spans="1:15" ht="36" customHeight="1" x14ac:dyDescent="0.3">
      <c r="A9" s="21"/>
      <c r="B9" s="30"/>
      <c r="C9" s="53"/>
      <c r="D9" s="52" t="s">
        <v>143</v>
      </c>
      <c r="E9" s="70"/>
      <c r="F9" s="70"/>
      <c r="G9" s="17"/>
      <c r="H9" s="54"/>
      <c r="I9" s="17"/>
      <c r="J9" s="17"/>
      <c r="K9" s="483"/>
      <c r="L9" s="14"/>
      <c r="M9" s="14"/>
      <c r="N9" s="14"/>
      <c r="O9" s="14"/>
    </row>
    <row r="10" spans="1:15" ht="15" customHeight="1" x14ac:dyDescent="0.3">
      <c r="A10" s="21"/>
      <c r="B10" s="30"/>
      <c r="C10" s="32"/>
      <c r="D10" s="17"/>
      <c r="E10" s="70"/>
      <c r="F10" s="70"/>
      <c r="G10" s="17"/>
      <c r="H10" s="54"/>
      <c r="I10" s="17"/>
      <c r="J10" s="17"/>
      <c r="K10" s="483"/>
      <c r="L10" s="14"/>
      <c r="M10" s="14"/>
      <c r="N10" s="14"/>
      <c r="O10" s="14"/>
    </row>
    <row r="11" spans="1:15" ht="33.75" customHeight="1" x14ac:dyDescent="0.35">
      <c r="A11" s="21"/>
      <c r="B11" s="33" t="s">
        <v>261</v>
      </c>
      <c r="C11" s="32"/>
      <c r="D11" s="25"/>
      <c r="E11" s="25"/>
      <c r="F11" s="25"/>
      <c r="G11" s="17"/>
      <c r="H11" s="21"/>
      <c r="I11" s="17"/>
      <c r="J11" s="17"/>
      <c r="K11" s="483"/>
      <c r="L11" s="14"/>
      <c r="M11" s="14"/>
      <c r="N11" s="14"/>
      <c r="O11" s="14"/>
    </row>
    <row r="12" spans="1:15" ht="37.5" customHeight="1" x14ac:dyDescent="0.3">
      <c r="A12" s="21"/>
      <c r="B12" s="19" t="s">
        <v>74</v>
      </c>
      <c r="C12" s="435" t="s">
        <v>75</v>
      </c>
      <c r="D12" s="52" t="s">
        <v>185</v>
      </c>
      <c r="E12" s="52" t="s">
        <v>185</v>
      </c>
      <c r="F12" s="52"/>
      <c r="G12" s="17"/>
      <c r="H12" s="50">
        <v>2</v>
      </c>
      <c r="I12" s="17"/>
      <c r="J12" s="17"/>
      <c r="K12" s="483"/>
      <c r="L12" s="14"/>
      <c r="M12" s="14"/>
      <c r="N12" s="14"/>
      <c r="O12" s="14"/>
    </row>
    <row r="13" spans="1:15" ht="41.25" customHeight="1" x14ac:dyDescent="0.3">
      <c r="A13" s="21"/>
      <c r="B13" s="19" t="s">
        <v>76</v>
      </c>
      <c r="C13" s="29" t="s">
        <v>77</v>
      </c>
      <c r="D13" s="52" t="s">
        <v>10</v>
      </c>
      <c r="E13" s="52" t="s">
        <v>185</v>
      </c>
      <c r="F13" s="52" t="s">
        <v>10</v>
      </c>
      <c r="G13" s="17"/>
      <c r="H13" s="50">
        <v>3</v>
      </c>
      <c r="I13" s="17"/>
      <c r="J13" s="17"/>
      <c r="K13" s="483"/>
      <c r="L13" s="14"/>
      <c r="M13" s="14"/>
      <c r="N13" s="14"/>
      <c r="O13" s="14"/>
    </row>
    <row r="14" spans="1:15" ht="24.75" customHeight="1" x14ac:dyDescent="0.35">
      <c r="A14" s="21"/>
      <c r="B14" s="33"/>
      <c r="C14" s="180"/>
      <c r="D14" s="70"/>
      <c r="E14" s="70"/>
      <c r="F14" s="70"/>
      <c r="G14" s="17"/>
      <c r="H14" s="54"/>
      <c r="I14" s="17"/>
      <c r="J14" s="17"/>
      <c r="K14" s="483"/>
      <c r="L14" s="14"/>
      <c r="M14" s="14"/>
      <c r="N14" s="14"/>
      <c r="O14" s="14"/>
    </row>
    <row r="15" spans="1:15" ht="31.5" customHeight="1" x14ac:dyDescent="0.3">
      <c r="A15" s="21"/>
      <c r="B15" s="30"/>
      <c r="C15" s="32"/>
      <c r="D15" s="53" t="s">
        <v>448</v>
      </c>
      <c r="E15" s="70"/>
      <c r="F15" s="70"/>
      <c r="G15" s="17"/>
      <c r="H15" s="54"/>
      <c r="I15" s="17"/>
      <c r="J15" s="17"/>
      <c r="K15" s="483"/>
      <c r="L15" s="14"/>
      <c r="M15" s="14"/>
      <c r="N15" s="14"/>
      <c r="O15" s="14"/>
    </row>
    <row r="16" spans="1:15" ht="30" customHeight="1" x14ac:dyDescent="0.3">
      <c r="A16" s="21"/>
      <c r="B16" s="30"/>
      <c r="C16" s="32"/>
      <c r="D16" s="52" t="s">
        <v>10</v>
      </c>
      <c r="E16" s="17"/>
      <c r="F16" s="278"/>
      <c r="G16" s="17"/>
      <c r="H16" s="54"/>
      <c r="I16" s="17"/>
      <c r="J16" s="17"/>
      <c r="K16" s="483"/>
      <c r="L16" s="14"/>
      <c r="M16" s="14"/>
      <c r="N16" s="14"/>
      <c r="O16" s="14"/>
    </row>
    <row r="17" spans="1:15" ht="24.9" customHeight="1" x14ac:dyDescent="0.3">
      <c r="A17" s="21"/>
      <c r="B17" s="30"/>
      <c r="C17" s="188"/>
      <c r="D17" s="17"/>
      <c r="E17" s="17"/>
      <c r="F17" s="70"/>
      <c r="G17" s="17"/>
      <c r="H17" s="54"/>
      <c r="I17" s="17"/>
      <c r="J17" s="17"/>
      <c r="K17" s="483"/>
      <c r="L17" s="14"/>
      <c r="M17" s="14"/>
      <c r="N17" s="14"/>
      <c r="O17" s="14"/>
    </row>
    <row r="18" spans="1:15" ht="12.75" customHeight="1" x14ac:dyDescent="0.3">
      <c r="A18" s="21"/>
      <c r="B18" s="30"/>
      <c r="C18" s="32"/>
      <c r="D18" s="70"/>
      <c r="E18" s="70"/>
      <c r="F18" s="70"/>
      <c r="G18" s="17"/>
      <c r="H18" s="54"/>
      <c r="I18" s="17"/>
      <c r="J18" s="17"/>
      <c r="K18" s="483"/>
      <c r="L18" s="14"/>
      <c r="M18" s="14"/>
      <c r="N18" s="14"/>
      <c r="O18" s="14"/>
    </row>
    <row r="19" spans="1:15" ht="12.75" customHeight="1" x14ac:dyDescent="0.3">
      <c r="A19" s="21"/>
      <c r="B19" s="76"/>
      <c r="C19" s="188"/>
      <c r="D19" s="17"/>
      <c r="E19" s="17"/>
      <c r="F19" s="17"/>
      <c r="G19" s="17"/>
      <c r="H19" s="21"/>
      <c r="I19" s="17"/>
      <c r="J19" s="17"/>
      <c r="K19" s="483"/>
      <c r="L19" s="14"/>
      <c r="M19" s="14"/>
      <c r="N19" s="14"/>
      <c r="O19" s="14"/>
    </row>
    <row r="20" spans="1:15" ht="10.65" customHeight="1" x14ac:dyDescent="0.3">
      <c r="A20" s="21"/>
      <c r="B20" s="76"/>
      <c r="C20" s="188"/>
      <c r="D20" s="17"/>
      <c r="E20" s="17"/>
      <c r="F20" s="17"/>
      <c r="G20" s="17"/>
      <c r="H20" s="21"/>
      <c r="I20" s="17"/>
      <c r="J20" s="17"/>
      <c r="K20" s="483"/>
      <c r="L20" s="14"/>
      <c r="M20" s="14"/>
      <c r="N20" s="14"/>
      <c r="O20" s="14"/>
    </row>
    <row r="21" spans="1:15" ht="24.9" customHeight="1" x14ac:dyDescent="0.3">
      <c r="A21" s="21"/>
      <c r="B21" s="31"/>
      <c r="C21" s="42"/>
      <c r="D21" s="26"/>
      <c r="E21" s="26"/>
      <c r="F21" s="26"/>
      <c r="G21" s="17"/>
      <c r="H21" s="21"/>
      <c r="I21" s="17"/>
      <c r="J21" s="17"/>
      <c r="K21" s="483"/>
      <c r="L21" s="14"/>
      <c r="M21" s="14"/>
      <c r="N21" s="14"/>
      <c r="O21" s="14"/>
    </row>
    <row r="22" spans="1:15" ht="30.75" customHeight="1" x14ac:dyDescent="0.3">
      <c r="A22" s="21"/>
      <c r="B22" s="76"/>
      <c r="C22" s="188"/>
      <c r="D22" s="17"/>
      <c r="E22" s="17"/>
      <c r="F22" s="17"/>
      <c r="G22" s="109"/>
      <c r="H22" s="109"/>
      <c r="I22" s="17"/>
      <c r="J22" s="17"/>
      <c r="K22" s="483"/>
      <c r="L22" s="14"/>
      <c r="M22" s="14"/>
      <c r="N22" s="14"/>
      <c r="O22" s="14"/>
    </row>
    <row r="23" spans="1:15" ht="30" customHeight="1" x14ac:dyDescent="0.3">
      <c r="A23" s="21"/>
      <c r="B23" s="76"/>
      <c r="C23" s="188"/>
      <c r="D23" s="17"/>
      <c r="E23" s="17"/>
      <c r="F23" s="17"/>
      <c r="G23" s="109"/>
      <c r="H23" s="109"/>
      <c r="I23" s="17"/>
      <c r="J23" s="17"/>
      <c r="K23" s="483"/>
      <c r="L23" s="14"/>
      <c r="M23" s="14"/>
      <c r="N23" s="14"/>
      <c r="O23" s="14"/>
    </row>
    <row r="24" spans="1:15" ht="24.75" customHeight="1" x14ac:dyDescent="0.3">
      <c r="A24" s="21"/>
      <c r="B24" s="76"/>
      <c r="C24" s="188"/>
      <c r="D24" s="17"/>
      <c r="E24" s="17"/>
      <c r="F24" s="17"/>
      <c r="G24" s="17"/>
      <c r="H24" s="21"/>
      <c r="I24" s="17"/>
      <c r="J24" s="17"/>
      <c r="K24" s="483"/>
      <c r="L24" s="14"/>
      <c r="M24" s="14"/>
      <c r="N24" s="14"/>
      <c r="O24" s="14"/>
    </row>
    <row r="25" spans="1:15" ht="29.25" customHeight="1" x14ac:dyDescent="0.3">
      <c r="A25" s="21"/>
      <c r="B25" s="76"/>
      <c r="C25" s="188"/>
      <c r="D25" s="17"/>
      <c r="E25" s="17"/>
      <c r="F25" s="17"/>
      <c r="G25" s="17"/>
      <c r="H25" s="21"/>
      <c r="I25" s="17"/>
      <c r="J25" s="17"/>
      <c r="K25" s="483"/>
      <c r="L25" s="14"/>
      <c r="M25" s="14"/>
      <c r="N25" s="14"/>
      <c r="O25" s="14"/>
    </row>
    <row r="26" spans="1:15" ht="28.5" customHeight="1" x14ac:dyDescent="0.3">
      <c r="A26" s="21"/>
      <c r="B26" s="76"/>
      <c r="C26" s="188"/>
      <c r="D26" s="17"/>
      <c r="E26" s="17"/>
      <c r="F26" s="17"/>
      <c r="G26" s="17"/>
      <c r="H26" s="21"/>
      <c r="I26" s="17"/>
      <c r="J26" s="17"/>
      <c r="K26" s="483"/>
      <c r="L26" s="14"/>
      <c r="M26" s="14"/>
      <c r="N26" s="14"/>
      <c r="O26" s="14"/>
    </row>
    <row r="27" spans="1:15" ht="24.9" customHeight="1" x14ac:dyDescent="0.3">
      <c r="A27" s="21"/>
      <c r="B27" s="76"/>
      <c r="C27" s="188"/>
      <c r="D27" s="17"/>
      <c r="E27" s="17"/>
      <c r="F27" s="17"/>
      <c r="G27" s="17"/>
      <c r="H27" s="21"/>
      <c r="I27" s="17"/>
      <c r="J27" s="17"/>
      <c r="K27" s="483"/>
      <c r="L27" s="14"/>
      <c r="M27" s="14"/>
      <c r="N27" s="14"/>
      <c r="O27" s="14"/>
    </row>
    <row r="28" spans="1:15" ht="31.5" customHeight="1" x14ac:dyDescent="0.3">
      <c r="A28" s="21"/>
      <c r="B28" s="76"/>
      <c r="C28" s="188"/>
      <c r="D28" s="17"/>
      <c r="E28" s="17"/>
      <c r="F28" s="17"/>
      <c r="G28" s="17"/>
      <c r="H28" s="21"/>
      <c r="I28" s="17"/>
      <c r="J28" s="17"/>
      <c r="K28" s="483"/>
      <c r="L28" s="14"/>
      <c r="M28" s="14"/>
      <c r="N28" s="14"/>
      <c r="O28" s="14"/>
    </row>
    <row r="29" spans="1:15" ht="24.75" customHeight="1" x14ac:dyDescent="0.3">
      <c r="A29" s="21"/>
      <c r="B29" s="76"/>
      <c r="C29" s="188"/>
      <c r="D29" s="17"/>
      <c r="E29" s="17"/>
      <c r="F29" s="17"/>
      <c r="G29" s="17"/>
      <c r="H29" s="21"/>
      <c r="I29" s="17"/>
      <c r="J29" s="17"/>
      <c r="K29" s="483"/>
      <c r="L29" s="15"/>
      <c r="M29" s="15"/>
      <c r="N29" s="15"/>
      <c r="O29" s="15"/>
    </row>
    <row r="30" spans="1:15" ht="24.9" customHeight="1" x14ac:dyDescent="0.3">
      <c r="A30" s="21"/>
      <c r="B30" s="76"/>
      <c r="C30" s="188"/>
      <c r="D30" s="17"/>
      <c r="E30" s="17"/>
      <c r="F30" s="17"/>
      <c r="G30" s="17"/>
      <c r="H30" s="21"/>
      <c r="I30" s="17"/>
      <c r="J30" s="17"/>
      <c r="K30" s="483"/>
      <c r="L30" s="14"/>
      <c r="M30" s="14"/>
      <c r="N30" s="14"/>
      <c r="O30" s="14"/>
    </row>
    <row r="31" spans="1:15" ht="30.75" customHeight="1" x14ac:dyDescent="0.3">
      <c r="A31" s="21"/>
      <c r="B31" s="76"/>
      <c r="G31" s="17"/>
      <c r="H31" s="21"/>
      <c r="I31" s="17"/>
      <c r="J31" s="17"/>
      <c r="K31" s="483"/>
      <c r="L31" s="14"/>
      <c r="M31" s="14"/>
      <c r="N31" s="14"/>
      <c r="O31" s="14"/>
    </row>
    <row r="32" spans="1:15" ht="24.9" customHeight="1" x14ac:dyDescent="0.3">
      <c r="A32" s="21"/>
      <c r="B32" s="76"/>
      <c r="G32" s="17"/>
      <c r="H32" s="21"/>
      <c r="I32" s="17"/>
      <c r="J32" s="17"/>
      <c r="K32" s="483"/>
      <c r="L32" s="14"/>
      <c r="M32" s="14"/>
      <c r="N32" s="14"/>
      <c r="O32" s="14"/>
    </row>
    <row r="33" spans="1:15" ht="24.9" customHeight="1" x14ac:dyDescent="0.3">
      <c r="A33" s="21"/>
      <c r="B33" s="76"/>
      <c r="G33" s="17"/>
      <c r="H33" s="21"/>
      <c r="I33" s="17"/>
      <c r="J33" s="17"/>
      <c r="K33" s="483"/>
      <c r="L33" s="14"/>
      <c r="M33" s="14"/>
      <c r="N33" s="14"/>
      <c r="O33" s="14"/>
    </row>
    <row r="34" spans="1:15" ht="30.75" customHeight="1" x14ac:dyDescent="0.3">
      <c r="A34" s="21"/>
      <c r="B34" s="76"/>
      <c r="G34" s="17"/>
      <c r="H34" s="21"/>
      <c r="I34" s="17"/>
      <c r="J34" s="17"/>
      <c r="K34" s="483"/>
      <c r="L34" s="12"/>
      <c r="M34" s="12"/>
      <c r="N34" s="12"/>
      <c r="O34" s="12"/>
    </row>
    <row r="35" spans="1:15" ht="12" customHeight="1" x14ac:dyDescent="0.3">
      <c r="A35" s="21"/>
      <c r="I35" s="17"/>
      <c r="J35" s="17"/>
      <c r="K35" s="483"/>
      <c r="L35" s="12"/>
      <c r="M35" s="12"/>
      <c r="N35" s="12"/>
      <c r="O35" s="12"/>
    </row>
    <row r="36" spans="1:15" ht="15.75" customHeight="1" x14ac:dyDescent="0.3">
      <c r="A36" s="21"/>
      <c r="I36" s="66"/>
      <c r="J36" s="66"/>
      <c r="K36" s="483"/>
      <c r="L36" s="12"/>
      <c r="M36" s="12"/>
      <c r="N36" s="12"/>
      <c r="O36" s="12"/>
    </row>
    <row r="37" spans="1:15" ht="23.25" customHeight="1" x14ac:dyDescent="0.3">
      <c r="A37" s="21"/>
      <c r="I37" s="66"/>
      <c r="J37" s="66"/>
      <c r="K37" s="483"/>
      <c r="L37" s="12"/>
      <c r="M37" s="12"/>
      <c r="N37" s="12"/>
      <c r="O37" s="12"/>
    </row>
    <row r="38" spans="1:15" ht="2.25" customHeight="1" x14ac:dyDescent="0.3">
      <c r="I38" s="17"/>
      <c r="J38" s="17"/>
      <c r="K38" s="483"/>
      <c r="L38" s="12"/>
      <c r="M38" s="12"/>
      <c r="N38" s="12"/>
      <c r="O38" s="12"/>
    </row>
  </sheetData>
  <customSheetViews>
    <customSheetView guid="{468281ED-4ADC-4BB5-9EE5-E9016B5EB30D}" scale="96" topLeftCell="B1">
      <selection activeCell="C2" sqref="C2"/>
      <pageMargins left="0.31496062992125984" right="0.31496062992125984" top="0.78740157480314965" bottom="0.15748031496062992" header="0" footer="0.31496062992125984"/>
      <printOptions horizontalCentered="1"/>
      <pageSetup paperSize="9" fitToWidth="0" orientation="portrait" horizontalDpi="4294967293" r:id="rId1"/>
    </customSheetView>
  </customSheetViews>
  <mergeCells count="2">
    <mergeCell ref="H3:H5"/>
    <mergeCell ref="K3:K38"/>
  </mergeCells>
  <printOptions horizontalCentered="1"/>
  <pageMargins left="0.31496062992125984" right="0.31496062992125984" top="0.78740157480314965" bottom="0.15748031496062992" header="0" footer="0.31496062992125984"/>
  <pageSetup paperSize="9" fitToWidth="0" orientation="portrait" horizontalDpi="4294967293" r:id="rId2"/>
  <drawing r:id="rId3"/>
  <legacyDrawing r:id="rId4"/>
  <controls>
    <mc:AlternateContent xmlns:mc="http://schemas.openxmlformats.org/markup-compatibility/2006">
      <mc:Choice Requires="x14">
        <control shapeId="6145" r:id="rId5" name="CommandButton1">
          <controlPr locked="0" defaultSize="0" autoLine="0" r:id="rId6">
            <anchor moveWithCells="1">
              <from>
                <xdr:col>11</xdr:col>
                <xdr:colOff>68580</xdr:colOff>
                <xdr:row>1</xdr:row>
                <xdr:rowOff>0</xdr:rowOff>
              </from>
              <to>
                <xdr:col>12</xdr:col>
                <xdr:colOff>457200</xdr:colOff>
                <xdr:row>2</xdr:row>
                <xdr:rowOff>121920</xdr:rowOff>
              </to>
            </anchor>
          </controlPr>
        </control>
      </mc:Choice>
      <mc:Fallback>
        <control shapeId="6145" r:id="rId5" name="CommandButton1"/>
      </mc:Fallback>
    </mc:AlternateContent>
    <mc:AlternateContent xmlns:mc="http://schemas.openxmlformats.org/markup-compatibility/2006">
      <mc:Choice Requires="x14">
        <control shapeId="6147" r:id="rId7" name="CommandButton3">
          <controlPr locked="0" defaultSize="0" autoLine="0" r:id="rId8">
            <anchor moveWithCells="1">
              <from>
                <xdr:col>11</xdr:col>
                <xdr:colOff>30480</xdr:colOff>
                <xdr:row>2</xdr:row>
                <xdr:rowOff>114300</xdr:rowOff>
              </from>
              <to>
                <xdr:col>12</xdr:col>
                <xdr:colOff>419100</xdr:colOff>
                <xdr:row>4</xdr:row>
                <xdr:rowOff>22860</xdr:rowOff>
              </to>
            </anchor>
          </controlPr>
        </control>
      </mc:Choice>
      <mc:Fallback>
        <control shapeId="6147" r:id="rId7" name="CommandButton3"/>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jam_sheet"/>
  <dimension ref="A1:Q37"/>
  <sheetViews>
    <sheetView zoomScaleNormal="100" workbookViewId="0">
      <pane ySplit="2" topLeftCell="A9" activePane="bottomLeft" state="frozen"/>
      <selection pane="bottomLeft" activeCell="M13" sqref="M13"/>
    </sheetView>
  </sheetViews>
  <sheetFormatPr defaultColWidth="9.109375" defaultRowHeight="15.6" x14ac:dyDescent="0.3"/>
  <cols>
    <col min="1" max="1" width="3.109375" style="1" customWidth="1"/>
    <col min="2" max="2" width="5" style="5" customWidth="1"/>
    <col min="3" max="3" width="16.5546875" style="6" customWidth="1"/>
    <col min="4" max="6" width="18.5546875" style="1" customWidth="1"/>
    <col min="7" max="7" width="1.44140625" style="1" customWidth="1"/>
    <col min="8" max="8" width="5.109375" style="44" customWidth="1"/>
    <col min="9" max="9" width="4.109375" style="13" customWidth="1"/>
    <col min="10" max="10" width="11.109375" style="13" hidden="1" customWidth="1"/>
    <col min="11" max="11" width="21.88671875" style="13" hidden="1" customWidth="1"/>
    <col min="12" max="15" width="15.5546875" style="13" customWidth="1"/>
    <col min="16" max="16384" width="9.109375" style="1"/>
  </cols>
  <sheetData>
    <row r="1" spans="1:17" s="10" customFormat="1" ht="39" customHeight="1" x14ac:dyDescent="0.4">
      <c r="A1" s="295"/>
      <c r="B1" s="259" t="s">
        <v>132</v>
      </c>
      <c r="C1" s="403"/>
      <c r="D1" s="295"/>
      <c r="E1" s="404"/>
      <c r="F1" s="294" t="s">
        <v>667</v>
      </c>
      <c r="G1" s="295"/>
      <c r="H1" s="63"/>
      <c r="I1" s="45"/>
      <c r="J1" s="45"/>
      <c r="K1" s="45"/>
      <c r="L1" s="16"/>
      <c r="M1" s="16"/>
      <c r="N1" s="16"/>
      <c r="O1" s="16"/>
      <c r="P1" s="405"/>
      <c r="Q1" s="405"/>
    </row>
    <row r="2" spans="1:17" s="4" customFormat="1" ht="30.75" customHeight="1" x14ac:dyDescent="0.3">
      <c r="A2" s="22"/>
      <c r="B2" s="27"/>
      <c r="C2" s="330"/>
      <c r="D2" s="53" t="s">
        <v>1</v>
      </c>
      <c r="E2" s="53" t="s">
        <v>2</v>
      </c>
      <c r="F2" s="53" t="s">
        <v>3</v>
      </c>
      <c r="G2" s="36"/>
      <c r="H2" s="77" t="s">
        <v>7</v>
      </c>
      <c r="I2" s="46"/>
      <c r="J2" s="46"/>
      <c r="K2" s="297" t="s">
        <v>135</v>
      </c>
      <c r="L2" s="14"/>
      <c r="M2" s="14"/>
      <c r="N2" s="14"/>
      <c r="O2" s="14"/>
      <c r="P2" s="406"/>
      <c r="Q2" s="406"/>
    </row>
    <row r="3" spans="1:17" ht="39.9" customHeight="1" x14ac:dyDescent="0.3">
      <c r="A3" s="17"/>
      <c r="B3" s="19" t="s">
        <v>78</v>
      </c>
      <c r="C3" s="29" t="s">
        <v>79</v>
      </c>
      <c r="D3" s="52" t="s">
        <v>842</v>
      </c>
      <c r="E3" s="52" t="s">
        <v>185</v>
      </c>
      <c r="F3" s="52" t="s">
        <v>143</v>
      </c>
      <c r="G3" s="17"/>
      <c r="H3" s="50">
        <v>8</v>
      </c>
      <c r="I3" s="38"/>
      <c r="J3" s="38"/>
      <c r="K3" s="477" t="s">
        <v>441</v>
      </c>
      <c r="L3" s="14"/>
      <c r="M3" s="14"/>
      <c r="N3" s="14"/>
      <c r="O3" s="14"/>
      <c r="P3" s="407"/>
      <c r="Q3" s="407"/>
    </row>
    <row r="4" spans="1:17" ht="39.9" customHeight="1" x14ac:dyDescent="0.3">
      <c r="A4" s="17"/>
      <c r="B4" s="19" t="s">
        <v>80</v>
      </c>
      <c r="C4" s="29" t="s">
        <v>81</v>
      </c>
      <c r="D4" s="52" t="s">
        <v>144</v>
      </c>
      <c r="E4" s="52" t="s">
        <v>185</v>
      </c>
      <c r="F4" s="52" t="s">
        <v>139</v>
      </c>
      <c r="G4" s="17"/>
      <c r="H4" s="50">
        <v>5</v>
      </c>
      <c r="I4" s="38"/>
      <c r="J4" s="38"/>
      <c r="K4" s="477"/>
      <c r="L4" s="14"/>
      <c r="M4" s="14"/>
      <c r="N4" s="14"/>
      <c r="O4" s="14"/>
      <c r="P4" s="407"/>
      <c r="Q4" s="407"/>
    </row>
    <row r="5" spans="1:17" ht="39.9" customHeight="1" x14ac:dyDescent="0.3">
      <c r="A5" s="17"/>
      <c r="B5" s="19" t="s">
        <v>82</v>
      </c>
      <c r="C5" s="29" t="s">
        <v>83</v>
      </c>
      <c r="D5" s="52" t="s">
        <v>185</v>
      </c>
      <c r="E5" s="52" t="s">
        <v>143</v>
      </c>
      <c r="F5" s="52" t="s">
        <v>142</v>
      </c>
      <c r="G5" s="17"/>
      <c r="H5" s="50">
        <v>5</v>
      </c>
      <c r="I5" s="38"/>
      <c r="J5" s="38"/>
      <c r="K5" s="477"/>
      <c r="L5" s="14"/>
      <c r="M5" s="14"/>
      <c r="N5" s="14"/>
      <c r="O5" s="14"/>
      <c r="P5" s="407"/>
      <c r="Q5" s="407"/>
    </row>
    <row r="6" spans="1:17" ht="39.9" customHeight="1" x14ac:dyDescent="0.3">
      <c r="A6" s="17"/>
      <c r="B6" s="19" t="s">
        <v>84</v>
      </c>
      <c r="C6" s="29" t="s">
        <v>85</v>
      </c>
      <c r="D6" s="52" t="s">
        <v>142</v>
      </c>
      <c r="E6" s="52" t="s">
        <v>144</v>
      </c>
      <c r="F6" s="52" t="s">
        <v>138</v>
      </c>
      <c r="G6" s="17"/>
      <c r="H6" s="50">
        <v>5</v>
      </c>
      <c r="I6" s="38"/>
      <c r="J6" s="38"/>
      <c r="K6" s="477"/>
      <c r="L6" s="14"/>
      <c r="M6" s="14"/>
      <c r="N6" s="14"/>
      <c r="O6" s="14"/>
      <c r="P6" s="407"/>
      <c r="Q6" s="407"/>
    </row>
    <row r="7" spans="1:17" ht="39.9" customHeight="1" x14ac:dyDescent="0.3">
      <c r="A7" s="17"/>
      <c r="B7" s="19" t="s">
        <v>86</v>
      </c>
      <c r="C7" s="29" t="s">
        <v>87</v>
      </c>
      <c r="D7" s="52" t="s">
        <v>185</v>
      </c>
      <c r="E7" s="52" t="s">
        <v>142</v>
      </c>
      <c r="F7" s="52" t="s">
        <v>143</v>
      </c>
      <c r="G7" s="17"/>
      <c r="H7" s="50">
        <v>6</v>
      </c>
      <c r="I7" s="38"/>
      <c r="J7" s="38"/>
      <c r="K7" s="477"/>
      <c r="L7" s="14"/>
      <c r="M7" s="14"/>
      <c r="N7" s="14"/>
      <c r="O7" s="14"/>
      <c r="P7" s="407"/>
      <c r="Q7" s="407"/>
    </row>
    <row r="8" spans="1:17" ht="39.9" customHeight="1" x14ac:dyDescent="0.3">
      <c r="A8" s="17"/>
      <c r="B8" s="19" t="s">
        <v>88</v>
      </c>
      <c r="C8" s="29" t="s">
        <v>89</v>
      </c>
      <c r="D8" s="52" t="s">
        <v>185</v>
      </c>
      <c r="E8" s="52"/>
      <c r="F8" s="52"/>
      <c r="G8" s="17"/>
      <c r="H8" s="50">
        <v>1</v>
      </c>
      <c r="I8" s="38"/>
      <c r="J8" s="38"/>
      <c r="K8" s="477"/>
      <c r="L8" s="14"/>
      <c r="M8" s="14"/>
      <c r="N8" s="14"/>
      <c r="O8" s="14"/>
      <c r="P8" s="407"/>
      <c r="Q8" s="407"/>
    </row>
    <row r="9" spans="1:17" ht="39.9" customHeight="1" x14ac:dyDescent="0.3">
      <c r="A9" s="17"/>
      <c r="B9" s="19" t="s">
        <v>90</v>
      </c>
      <c r="C9" s="29" t="s">
        <v>91</v>
      </c>
      <c r="D9" s="52" t="s">
        <v>143</v>
      </c>
      <c r="E9" s="52" t="s">
        <v>142</v>
      </c>
      <c r="F9" s="52" t="s">
        <v>138</v>
      </c>
      <c r="G9" s="17"/>
      <c r="H9" s="50">
        <v>5</v>
      </c>
      <c r="I9" s="38"/>
      <c r="J9" s="38"/>
      <c r="K9" s="477"/>
      <c r="L9" s="14"/>
      <c r="M9" s="14"/>
      <c r="N9" s="14"/>
      <c r="O9" s="14"/>
      <c r="P9" s="407"/>
      <c r="Q9" s="407"/>
    </row>
    <row r="10" spans="1:17" ht="39.9" customHeight="1" x14ac:dyDescent="0.3">
      <c r="A10" s="17"/>
      <c r="B10" s="19" t="s">
        <v>92</v>
      </c>
      <c r="C10" s="29" t="s">
        <v>93</v>
      </c>
      <c r="D10" s="52" t="s">
        <v>185</v>
      </c>
      <c r="E10" s="52" t="s">
        <v>814</v>
      </c>
      <c r="F10" s="52" t="s">
        <v>138</v>
      </c>
      <c r="G10" s="17"/>
      <c r="H10" s="50">
        <v>5</v>
      </c>
      <c r="I10" s="38"/>
      <c r="J10" s="38"/>
      <c r="K10" s="477"/>
      <c r="L10" s="14"/>
      <c r="M10" s="14"/>
      <c r="N10" s="14"/>
      <c r="O10" s="14"/>
      <c r="P10" s="407"/>
      <c r="Q10" s="407"/>
    </row>
    <row r="11" spans="1:17" ht="39.9" customHeight="1" x14ac:dyDescent="0.3">
      <c r="A11" s="17"/>
      <c r="B11" s="19" t="s">
        <v>94</v>
      </c>
      <c r="C11" s="29" t="s">
        <v>335</v>
      </c>
      <c r="D11" s="52" t="s">
        <v>139</v>
      </c>
      <c r="E11" s="52" t="s">
        <v>237</v>
      </c>
      <c r="F11" s="52" t="s">
        <v>809</v>
      </c>
      <c r="G11" s="17"/>
      <c r="H11" s="50">
        <v>16</v>
      </c>
      <c r="I11" s="38"/>
      <c r="J11" s="38"/>
      <c r="K11" s="477"/>
      <c r="L11" s="14"/>
      <c r="M11" s="14"/>
      <c r="N11" s="14"/>
      <c r="O11" s="14"/>
      <c r="P11" s="407"/>
      <c r="Q11" s="407"/>
    </row>
    <row r="12" spans="1:17" ht="39.9" customHeight="1" x14ac:dyDescent="0.3">
      <c r="A12" s="17"/>
      <c r="B12" s="19" t="s">
        <v>95</v>
      </c>
      <c r="C12" s="29" t="s">
        <v>97</v>
      </c>
      <c r="D12" s="52" t="s">
        <v>139</v>
      </c>
      <c r="E12" s="49" t="s">
        <v>783</v>
      </c>
      <c r="F12" s="49" t="s">
        <v>141</v>
      </c>
      <c r="G12" s="17"/>
      <c r="H12" s="50">
        <v>4</v>
      </c>
      <c r="I12" s="38"/>
      <c r="J12" s="38"/>
      <c r="K12" s="477"/>
      <c r="L12" s="14"/>
      <c r="M12" s="14"/>
      <c r="N12" s="14"/>
      <c r="O12" s="14"/>
      <c r="P12" s="407"/>
      <c r="Q12" s="407"/>
    </row>
    <row r="13" spans="1:17" ht="39.9" customHeight="1" x14ac:dyDescent="0.3">
      <c r="A13" s="17"/>
      <c r="B13" s="19" t="s">
        <v>96</v>
      </c>
      <c r="C13" s="29" t="s">
        <v>695</v>
      </c>
      <c r="D13" s="52" t="s">
        <v>144</v>
      </c>
      <c r="E13" s="49"/>
      <c r="F13" s="49"/>
      <c r="G13" s="17"/>
      <c r="H13" s="50">
        <v>1</v>
      </c>
      <c r="I13" s="38"/>
      <c r="J13" s="38"/>
      <c r="K13" s="477"/>
      <c r="L13" s="14"/>
      <c r="M13" s="14"/>
      <c r="N13" s="14"/>
      <c r="O13" s="14"/>
      <c r="P13" s="407"/>
      <c r="Q13" s="407"/>
    </row>
    <row r="14" spans="1:17" ht="20.399999999999999" customHeight="1" x14ac:dyDescent="0.3">
      <c r="A14" s="17"/>
      <c r="B14" s="76"/>
      <c r="C14" s="188"/>
      <c r="D14" s="17"/>
      <c r="E14" s="17"/>
      <c r="F14" s="17"/>
      <c r="G14" s="17"/>
      <c r="H14" s="21"/>
      <c r="I14" s="38"/>
      <c r="J14" s="38"/>
      <c r="K14" s="477"/>
      <c r="L14" s="14"/>
      <c r="M14" s="14"/>
      <c r="N14" s="14"/>
      <c r="O14" s="14"/>
      <c r="P14" s="407"/>
      <c r="Q14" s="407"/>
    </row>
    <row r="15" spans="1:17" ht="39" customHeight="1" x14ac:dyDescent="0.3">
      <c r="A15" s="17"/>
      <c r="B15" s="76"/>
      <c r="C15" s="31"/>
      <c r="D15" s="53" t="s">
        <v>446</v>
      </c>
      <c r="E15" s="72"/>
      <c r="F15" s="72"/>
      <c r="G15" s="17"/>
      <c r="H15" s="21"/>
      <c r="I15" s="38"/>
      <c r="J15" s="38"/>
      <c r="K15" s="477"/>
      <c r="L15" s="14"/>
      <c r="M15" s="14"/>
      <c r="N15" s="14"/>
      <c r="O15" s="14"/>
      <c r="P15" s="407"/>
      <c r="Q15" s="407"/>
    </row>
    <row r="16" spans="1:17" ht="31.5" customHeight="1" x14ac:dyDescent="0.3">
      <c r="A16" s="17"/>
      <c r="B16" s="76"/>
      <c r="C16" s="87" t="s">
        <v>136</v>
      </c>
      <c r="D16" s="52" t="s">
        <v>144</v>
      </c>
      <c r="E16" s="87"/>
      <c r="F16" s="285"/>
      <c r="G16" s="17"/>
      <c r="H16" s="21"/>
      <c r="I16" s="38"/>
      <c r="J16" s="38"/>
      <c r="K16" s="477"/>
      <c r="L16" s="14"/>
      <c r="M16" s="14"/>
      <c r="N16" s="14"/>
      <c r="O16" s="14"/>
      <c r="P16" s="407"/>
      <c r="Q16" s="407"/>
    </row>
    <row r="17" spans="1:17" ht="27" customHeight="1" x14ac:dyDescent="0.3">
      <c r="A17" s="21"/>
      <c r="B17" s="76"/>
      <c r="C17" s="87" t="s">
        <v>183</v>
      </c>
      <c r="D17" s="52" t="s">
        <v>918</v>
      </c>
      <c r="E17" s="17"/>
      <c r="F17" s="17"/>
      <c r="G17" s="17"/>
      <c r="H17" s="21"/>
      <c r="I17" s="38"/>
      <c r="J17" s="38"/>
      <c r="K17" s="484"/>
      <c r="L17" s="14"/>
      <c r="M17" s="14"/>
      <c r="N17" s="14"/>
      <c r="O17" s="14"/>
      <c r="P17" s="407"/>
      <c r="Q17" s="407"/>
    </row>
    <row r="18" spans="1:17" ht="28.5" customHeight="1" x14ac:dyDescent="0.3">
      <c r="A18" s="17"/>
      <c r="B18" s="76"/>
      <c r="C18" s="188"/>
      <c r="D18" s="25"/>
      <c r="E18" s="177"/>
      <c r="F18" s="177"/>
      <c r="G18" s="177"/>
      <c r="H18" s="177"/>
      <c r="I18" s="38"/>
      <c r="J18" s="38"/>
      <c r="K18" s="478"/>
      <c r="L18" s="14"/>
      <c r="M18" s="14"/>
      <c r="N18" s="14"/>
      <c r="O18" s="14"/>
      <c r="P18" s="407"/>
      <c r="Q18" s="407"/>
    </row>
    <row r="19" spans="1:17" ht="25.5" customHeight="1" x14ac:dyDescent="0.3">
      <c r="A19" s="17"/>
      <c r="B19" s="76"/>
      <c r="C19" s="188"/>
      <c r="D19" s="177"/>
      <c r="E19" s="177"/>
      <c r="F19" s="177"/>
      <c r="G19" s="177"/>
      <c r="H19" s="177"/>
      <c r="I19" s="177"/>
      <c r="J19" s="177"/>
      <c r="K19" s="478"/>
      <c r="L19" s="14"/>
      <c r="M19" s="14"/>
      <c r="N19" s="14"/>
      <c r="O19" s="14"/>
      <c r="P19" s="407"/>
      <c r="Q19" s="407"/>
    </row>
    <row r="20" spans="1:17" ht="21" customHeight="1" x14ac:dyDescent="0.3">
      <c r="A20" s="17"/>
      <c r="B20" s="76"/>
      <c r="C20" s="188"/>
      <c r="D20" s="177"/>
      <c r="E20" s="177"/>
      <c r="F20" s="177"/>
      <c r="G20" s="177"/>
      <c r="H20" s="177"/>
      <c r="I20" s="177"/>
      <c r="J20" s="177"/>
      <c r="K20" s="478"/>
      <c r="L20" s="14"/>
      <c r="M20" s="14"/>
      <c r="N20" s="14"/>
      <c r="O20" s="14"/>
      <c r="P20" s="407"/>
      <c r="Q20" s="407"/>
    </row>
    <row r="21" spans="1:17" ht="24.9" customHeight="1" x14ac:dyDescent="0.3">
      <c r="A21" s="17"/>
      <c r="B21" s="408"/>
      <c r="C21" s="409"/>
      <c r="D21" s="407"/>
      <c r="E21" s="407"/>
      <c r="F21" s="407"/>
      <c r="G21" s="407"/>
      <c r="H21" s="410"/>
      <c r="I21" s="177"/>
      <c r="J21" s="177"/>
      <c r="K21" s="478"/>
      <c r="L21" s="14"/>
      <c r="M21" s="14"/>
      <c r="N21" s="14"/>
      <c r="O21" s="14"/>
      <c r="P21" s="407"/>
      <c r="Q21" s="407"/>
    </row>
    <row r="22" spans="1:17" ht="24.9" customHeight="1" x14ac:dyDescent="0.3">
      <c r="A22" s="407"/>
      <c r="I22" s="14"/>
      <c r="J22" s="14"/>
      <c r="K22" s="478"/>
      <c r="L22" s="14"/>
      <c r="M22" s="14"/>
      <c r="N22" s="14"/>
      <c r="O22" s="14"/>
      <c r="P22" s="407"/>
      <c r="Q22" s="407"/>
    </row>
    <row r="23" spans="1:17" x14ac:dyDescent="0.3">
      <c r="K23" s="478"/>
    </row>
    <row r="24" spans="1:17" ht="24.9" customHeight="1" x14ac:dyDescent="0.3">
      <c r="K24" s="478"/>
    </row>
    <row r="25" spans="1:17" x14ac:dyDescent="0.3">
      <c r="K25" s="478"/>
    </row>
    <row r="26" spans="1:17" x14ac:dyDescent="0.3">
      <c r="K26" s="478"/>
    </row>
    <row r="27" spans="1:17" x14ac:dyDescent="0.3">
      <c r="K27" s="478"/>
    </row>
    <row r="28" spans="1:17" x14ac:dyDescent="0.3">
      <c r="K28" s="478"/>
    </row>
    <row r="29" spans="1:17" x14ac:dyDescent="0.3">
      <c r="E29" s="6"/>
      <c r="K29" s="478"/>
    </row>
    <row r="30" spans="1:17" x14ac:dyDescent="0.3">
      <c r="K30" s="478"/>
    </row>
    <row r="31" spans="1:17" x14ac:dyDescent="0.3">
      <c r="K31" s="478"/>
    </row>
    <row r="32" spans="1:17" x14ac:dyDescent="0.3">
      <c r="K32" s="478"/>
    </row>
    <row r="33" spans="11:11" x14ac:dyDescent="0.3">
      <c r="K33" s="478"/>
    </row>
    <row r="34" spans="11:11" x14ac:dyDescent="0.3">
      <c r="K34" s="478"/>
    </row>
    <row r="35" spans="11:11" x14ac:dyDescent="0.3">
      <c r="K35" s="478"/>
    </row>
    <row r="36" spans="11:11" x14ac:dyDescent="0.3">
      <c r="K36" s="478"/>
    </row>
    <row r="37" spans="11:11" x14ac:dyDescent="0.3">
      <c r="K37" s="478"/>
    </row>
  </sheetData>
  <customSheetViews>
    <customSheetView guid="{468281ED-4ADC-4BB5-9EE5-E9016B5EB30D}">
      <pane ySplit="2" topLeftCell="A9" activePane="bottomLeft" state="frozen"/>
      <selection pane="bottomLeft" activeCell="C2" sqref="C2"/>
      <pageMargins left="0.31496062992125984" right="0.31496062992125984" top="0.78740157480314965" bottom="0.59055118110236227" header="0" footer="0.31496062992125984"/>
      <printOptions horizontalCentered="1"/>
      <pageSetup paperSize="9" orientation="portrait" horizontalDpi="4294967293" r:id="rId1"/>
    </customSheetView>
  </customSheetViews>
  <mergeCells count="1">
    <mergeCell ref="K3:K37"/>
  </mergeCells>
  <printOptions horizontalCentered="1"/>
  <pageMargins left="0.31496062992125984" right="0.31496062992125984" top="0.78740157480314965" bottom="0.59055118110236227" header="0" footer="0.31496062992125984"/>
  <pageSetup paperSize="9" orientation="portrait" horizontalDpi="4294967293" r:id="rId2"/>
  <drawing r:id="rId3"/>
  <legacyDrawing r:id="rId4"/>
  <controls>
    <mc:AlternateContent xmlns:mc="http://schemas.openxmlformats.org/markup-compatibility/2006">
      <mc:Choice Requires="x14">
        <control shapeId="7169" r:id="rId5" name="CommandButton1">
          <controlPr locked="0" defaultSize="0" autoLine="0" autoPict="0" r:id="rId6">
            <anchor moveWithCells="1">
              <from>
                <xdr:col>11</xdr:col>
                <xdr:colOff>190500</xdr:colOff>
                <xdr:row>0</xdr:row>
                <xdr:rowOff>38100</xdr:rowOff>
              </from>
              <to>
                <xdr:col>12</xdr:col>
                <xdr:colOff>807720</xdr:colOff>
                <xdr:row>1</xdr:row>
                <xdr:rowOff>144780</xdr:rowOff>
              </to>
            </anchor>
          </controlPr>
        </control>
      </mc:Choice>
      <mc:Fallback>
        <control shapeId="7169" r:id="rId5" name="CommandButton1"/>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cake_sheet"/>
  <dimension ref="A1:I26"/>
  <sheetViews>
    <sheetView zoomScaleNormal="100" workbookViewId="0">
      <pane ySplit="2" topLeftCell="A12" activePane="bottomLeft" state="frozen"/>
      <selection pane="bottomLeft" activeCell="C2" sqref="C2"/>
    </sheetView>
  </sheetViews>
  <sheetFormatPr defaultColWidth="9.109375" defaultRowHeight="15.6" x14ac:dyDescent="0.3"/>
  <cols>
    <col min="1" max="1" width="3.5546875" style="1" customWidth="1"/>
    <col min="2" max="2" width="4.109375" style="5" customWidth="1"/>
    <col min="3" max="3" width="16" style="6" customWidth="1"/>
    <col min="4" max="4" width="17.44140625" style="1" customWidth="1"/>
    <col min="5" max="5" width="17.109375" style="1" customWidth="1"/>
    <col min="6" max="6" width="16.88671875" style="1" customWidth="1"/>
    <col min="7" max="7" width="1.88671875" style="1" customWidth="1"/>
    <col min="8" max="8" width="4.44140625" style="44" customWidth="1"/>
    <col min="9" max="9" width="4.5546875" style="1" customWidth="1"/>
    <col min="10" max="12" width="14.5546875" style="1" customWidth="1"/>
    <col min="13" max="16384" width="9.109375" style="1"/>
  </cols>
  <sheetData>
    <row r="1" spans="1:9" s="183" customFormat="1" ht="43.5" customHeight="1" x14ac:dyDescent="0.3">
      <c r="A1" s="34"/>
      <c r="B1" s="259" t="s">
        <v>133</v>
      </c>
      <c r="C1" s="403"/>
      <c r="D1" s="34"/>
      <c r="E1" s="329"/>
      <c r="F1" s="294" t="s">
        <v>667</v>
      </c>
      <c r="G1" s="34"/>
      <c r="H1" s="63"/>
      <c r="I1" s="34"/>
    </row>
    <row r="2" spans="1:9" s="4" customFormat="1" ht="30.75" customHeight="1" x14ac:dyDescent="0.3">
      <c r="A2" s="22"/>
      <c r="B2" s="27"/>
      <c r="C2" s="431"/>
      <c r="D2" s="53" t="s">
        <v>1</v>
      </c>
      <c r="E2" s="53" t="s">
        <v>2</v>
      </c>
      <c r="F2" s="53" t="s">
        <v>3</v>
      </c>
      <c r="G2" s="36"/>
      <c r="H2" s="77" t="s">
        <v>7</v>
      </c>
      <c r="I2" s="22"/>
    </row>
    <row r="3" spans="1:9" ht="35.1" customHeight="1" x14ac:dyDescent="0.3">
      <c r="A3" s="17"/>
      <c r="B3" s="19" t="s">
        <v>99</v>
      </c>
      <c r="C3" s="29" t="s">
        <v>100</v>
      </c>
      <c r="D3" s="52" t="s">
        <v>140</v>
      </c>
      <c r="E3" s="52" t="s">
        <v>185</v>
      </c>
      <c r="F3" s="52" t="s">
        <v>140</v>
      </c>
      <c r="G3" s="17"/>
      <c r="H3" s="50">
        <v>3</v>
      </c>
      <c r="I3" s="17"/>
    </row>
    <row r="4" spans="1:9" ht="35.1" customHeight="1" x14ac:dyDescent="0.3">
      <c r="A4" s="17"/>
      <c r="B4" s="19" t="s">
        <v>101</v>
      </c>
      <c r="C4" s="29" t="s">
        <v>102</v>
      </c>
      <c r="D4" s="52" t="s">
        <v>140</v>
      </c>
      <c r="E4" s="52" t="s">
        <v>138</v>
      </c>
      <c r="F4" s="52" t="s">
        <v>185</v>
      </c>
      <c r="G4" s="17"/>
      <c r="H4" s="50">
        <v>5</v>
      </c>
      <c r="I4" s="17"/>
    </row>
    <row r="5" spans="1:9" ht="35.1" customHeight="1" x14ac:dyDescent="0.3">
      <c r="A5" s="17"/>
      <c r="B5" s="19" t="s">
        <v>103</v>
      </c>
      <c r="C5" s="29" t="s">
        <v>340</v>
      </c>
      <c r="D5" s="52" t="s">
        <v>143</v>
      </c>
      <c r="E5" s="52" t="s">
        <v>185</v>
      </c>
      <c r="F5" s="52"/>
      <c r="G5" s="17"/>
      <c r="H5" s="50">
        <v>2</v>
      </c>
      <c r="I5" s="17"/>
    </row>
    <row r="6" spans="1:9" ht="35.1" customHeight="1" x14ac:dyDescent="0.3">
      <c r="A6" s="17"/>
      <c r="B6" s="19" t="s">
        <v>105</v>
      </c>
      <c r="C6" s="29" t="s">
        <v>106</v>
      </c>
      <c r="D6" s="52" t="s">
        <v>185</v>
      </c>
      <c r="E6" s="52" t="s">
        <v>833</v>
      </c>
      <c r="F6" s="52" t="s">
        <v>140</v>
      </c>
      <c r="G6" s="17"/>
      <c r="H6" s="50">
        <v>3</v>
      </c>
      <c r="I6" s="17"/>
    </row>
    <row r="7" spans="1:9" ht="35.1" customHeight="1" x14ac:dyDescent="0.3">
      <c r="A7" s="17"/>
      <c r="B7" s="19" t="s">
        <v>107</v>
      </c>
      <c r="C7" s="29" t="s">
        <v>108</v>
      </c>
      <c r="D7" s="52" t="s">
        <v>140</v>
      </c>
      <c r="E7" s="52" t="s">
        <v>185</v>
      </c>
      <c r="F7" s="52" t="s">
        <v>140</v>
      </c>
      <c r="G7" s="17"/>
      <c r="H7" s="50">
        <v>4</v>
      </c>
      <c r="I7" s="17"/>
    </row>
    <row r="8" spans="1:9" ht="35.1" customHeight="1" x14ac:dyDescent="0.3">
      <c r="A8" s="17"/>
      <c r="B8" s="19" t="s">
        <v>109</v>
      </c>
      <c r="C8" s="29" t="s">
        <v>182</v>
      </c>
      <c r="D8" s="52" t="s">
        <v>138</v>
      </c>
      <c r="E8" s="52" t="s">
        <v>185</v>
      </c>
      <c r="F8" s="52" t="s">
        <v>140</v>
      </c>
      <c r="G8" s="17"/>
      <c r="H8" s="50">
        <v>4</v>
      </c>
      <c r="I8" s="17"/>
    </row>
    <row r="9" spans="1:9" ht="35.1" customHeight="1" x14ac:dyDescent="0.3">
      <c r="A9" s="17"/>
      <c r="B9" s="19" t="s">
        <v>110</v>
      </c>
      <c r="C9" s="29" t="s">
        <v>436</v>
      </c>
      <c r="D9" s="52" t="s">
        <v>140</v>
      </c>
      <c r="E9" s="52" t="s">
        <v>185</v>
      </c>
      <c r="F9" s="52" t="s">
        <v>138</v>
      </c>
      <c r="G9" s="17"/>
      <c r="H9" s="50">
        <v>3</v>
      </c>
      <c r="I9" s="17"/>
    </row>
    <row r="10" spans="1:9" ht="35.1" customHeight="1" x14ac:dyDescent="0.3">
      <c r="A10" s="17"/>
      <c r="B10" s="19" t="s">
        <v>112</v>
      </c>
      <c r="C10" s="29" t="s">
        <v>113</v>
      </c>
      <c r="D10" s="52" t="s">
        <v>185</v>
      </c>
      <c r="E10" s="52" t="s">
        <v>140</v>
      </c>
      <c r="F10" s="52" t="s">
        <v>143</v>
      </c>
      <c r="G10" s="17"/>
      <c r="H10" s="50">
        <v>3</v>
      </c>
      <c r="I10" s="17"/>
    </row>
    <row r="11" spans="1:9" ht="35.1" customHeight="1" x14ac:dyDescent="0.3">
      <c r="A11" s="17"/>
      <c r="B11" s="19" t="s">
        <v>114</v>
      </c>
      <c r="C11" s="29" t="s">
        <v>115</v>
      </c>
      <c r="D11" s="52" t="s">
        <v>143</v>
      </c>
      <c r="E11" s="52" t="s">
        <v>140</v>
      </c>
      <c r="F11" s="52" t="s">
        <v>142</v>
      </c>
      <c r="G11" s="17"/>
      <c r="H11" s="50">
        <v>8</v>
      </c>
      <c r="I11" s="17"/>
    </row>
    <row r="12" spans="1:9" ht="35.1" customHeight="1" x14ac:dyDescent="0.3">
      <c r="A12" s="17"/>
      <c r="B12" s="19" t="s">
        <v>116</v>
      </c>
      <c r="C12" s="29" t="s">
        <v>181</v>
      </c>
      <c r="D12" s="52" t="s">
        <v>141</v>
      </c>
      <c r="E12" s="52" t="s">
        <v>143</v>
      </c>
      <c r="F12" s="52" t="s">
        <v>138</v>
      </c>
      <c r="G12" s="17"/>
      <c r="H12" s="50">
        <v>5</v>
      </c>
      <c r="I12" s="17"/>
    </row>
    <row r="13" spans="1:9" ht="35.1" customHeight="1" x14ac:dyDescent="0.3">
      <c r="A13" s="17"/>
      <c r="B13" s="19" t="s">
        <v>121</v>
      </c>
      <c r="C13" s="29" t="s">
        <v>179</v>
      </c>
      <c r="D13" s="52" t="s">
        <v>141</v>
      </c>
      <c r="E13" s="52" t="s">
        <v>143</v>
      </c>
      <c r="F13" s="52" t="s">
        <v>138</v>
      </c>
      <c r="G13" s="17"/>
      <c r="H13" s="50">
        <v>3</v>
      </c>
      <c r="I13" s="17"/>
    </row>
    <row r="14" spans="1:9" ht="35.1" customHeight="1" x14ac:dyDescent="0.3">
      <c r="A14" s="17"/>
      <c r="B14" s="19" t="s">
        <v>117</v>
      </c>
      <c r="C14" s="29" t="s">
        <v>696</v>
      </c>
      <c r="D14" s="52" t="s">
        <v>185</v>
      </c>
      <c r="E14" s="52" t="s">
        <v>141</v>
      </c>
      <c r="F14" s="52" t="s">
        <v>143</v>
      </c>
      <c r="G14" s="17"/>
      <c r="H14" s="50">
        <v>4</v>
      </c>
      <c r="I14" s="17"/>
    </row>
    <row r="15" spans="1:9" ht="35.1" customHeight="1" x14ac:dyDescent="0.3">
      <c r="A15" s="17"/>
      <c r="B15" s="19" t="s">
        <v>119</v>
      </c>
      <c r="C15" s="29" t="s">
        <v>118</v>
      </c>
      <c r="D15" s="52" t="s">
        <v>824</v>
      </c>
      <c r="E15" s="52" t="s">
        <v>143</v>
      </c>
      <c r="F15" s="52"/>
      <c r="G15" s="17"/>
      <c r="H15" s="50">
        <v>2</v>
      </c>
      <c r="I15" s="17"/>
    </row>
    <row r="16" spans="1:9" ht="35.1" customHeight="1" x14ac:dyDescent="0.3">
      <c r="A16" s="17"/>
      <c r="B16" s="19" t="s">
        <v>120</v>
      </c>
      <c r="C16" s="29" t="s">
        <v>178</v>
      </c>
      <c r="D16" s="52"/>
      <c r="E16" s="52" t="s">
        <v>143</v>
      </c>
      <c r="F16" s="52"/>
      <c r="G16" s="17"/>
      <c r="H16" s="50">
        <v>1</v>
      </c>
      <c r="I16" s="17"/>
    </row>
    <row r="17" spans="1:9" ht="35.1" customHeight="1" x14ac:dyDescent="0.3">
      <c r="A17" s="17"/>
      <c r="B17" s="19" t="s">
        <v>697</v>
      </c>
      <c r="C17" s="29" t="s">
        <v>180</v>
      </c>
      <c r="D17" s="52" t="s">
        <v>140</v>
      </c>
      <c r="E17" s="52" t="s">
        <v>836</v>
      </c>
      <c r="F17" s="52" t="s">
        <v>143</v>
      </c>
      <c r="G17" s="17"/>
      <c r="H17" s="50">
        <v>5</v>
      </c>
      <c r="I17" s="17"/>
    </row>
    <row r="18" spans="1:9" ht="11.4" customHeight="1" x14ac:dyDescent="0.3">
      <c r="A18" s="17"/>
      <c r="B18" s="76"/>
      <c r="C18" s="188"/>
      <c r="D18" s="17"/>
      <c r="E18" s="17"/>
      <c r="F18" s="17"/>
      <c r="G18" s="17"/>
      <c r="H18" s="21"/>
      <c r="I18" s="17"/>
    </row>
    <row r="19" spans="1:9" ht="30" customHeight="1" x14ac:dyDescent="0.3">
      <c r="A19" s="17"/>
      <c r="B19" s="32"/>
      <c r="C19" s="31"/>
      <c r="D19" s="30" t="s">
        <v>314</v>
      </c>
      <c r="E19" s="72"/>
      <c r="F19" s="72"/>
      <c r="G19" s="17"/>
      <c r="H19" s="54"/>
      <c r="I19" s="17"/>
    </row>
    <row r="20" spans="1:9" ht="31.5" customHeight="1" x14ac:dyDescent="0.3">
      <c r="A20" s="17"/>
      <c r="B20" s="76"/>
      <c r="C20" s="277" t="s">
        <v>136</v>
      </c>
      <c r="D20" s="52" t="s">
        <v>185</v>
      </c>
      <c r="E20" s="87"/>
      <c r="F20" s="72"/>
      <c r="G20" s="17"/>
      <c r="H20" s="21"/>
      <c r="I20" s="17"/>
    </row>
    <row r="21" spans="1:9" ht="27.9" customHeight="1" x14ac:dyDescent="0.3">
      <c r="A21" s="17"/>
      <c r="B21" s="76"/>
      <c r="C21" s="87" t="s">
        <v>183</v>
      </c>
      <c r="D21" s="52" t="s">
        <v>913</v>
      </c>
      <c r="E21" s="177"/>
      <c r="F21" s="177"/>
      <c r="G21" s="177"/>
      <c r="H21" s="177"/>
      <c r="I21" s="17"/>
    </row>
    <row r="22" spans="1:9" ht="17.100000000000001" customHeight="1" x14ac:dyDescent="0.3">
      <c r="A22" s="17"/>
      <c r="B22" s="76"/>
      <c r="C22" s="188"/>
      <c r="D22" s="177"/>
      <c r="E22" s="177"/>
      <c r="F22" s="177"/>
      <c r="G22" s="177"/>
      <c r="H22" s="177"/>
      <c r="I22" s="17"/>
    </row>
    <row r="23" spans="1:9" ht="39.9" customHeight="1" x14ac:dyDescent="0.3">
      <c r="D23" s="331"/>
      <c r="E23" s="331"/>
      <c r="F23" s="331"/>
      <c r="G23" s="331"/>
      <c r="H23" s="59"/>
    </row>
    <row r="24" spans="1:9" ht="39.9" customHeight="1" x14ac:dyDescent="0.3"/>
    <row r="25" spans="1:9" ht="39.9" customHeight="1" x14ac:dyDescent="0.3"/>
    <row r="26" spans="1:9" ht="39.9" customHeight="1" x14ac:dyDescent="0.3"/>
  </sheetData>
  <customSheetViews>
    <customSheetView guid="{468281ED-4ADC-4BB5-9EE5-E9016B5EB30D}">
      <pane ySplit="2" topLeftCell="A14" activePane="bottomLeft" state="frozen"/>
      <selection pane="bottomLeft" activeCell="F19" sqref="F19"/>
      <pageMargins left="0.51181102362204722" right="0.51181102362204722" top="0.98425196850393704" bottom="0.74803149606299213" header="0" footer="0.31496062992125984"/>
      <pageSetup paperSize="9" orientation="portrait" horizontalDpi="4294967293" r:id="rId1"/>
    </customSheetView>
  </customSheetViews>
  <pageMargins left="0.70866141732283461" right="0.70866141732283461" top="0.74803149606299213" bottom="0.74803149606299213" header="0.31496062992125984" footer="0.31496062992125984"/>
  <pageSetup paperSize="9" orientation="portrait" horizontalDpi="4294967293" r:id="rId2"/>
  <drawing r:id="rId3"/>
  <legacyDrawing r:id="rId4"/>
  <controls>
    <mc:AlternateContent xmlns:mc="http://schemas.openxmlformats.org/markup-compatibility/2006">
      <mc:Choice Requires="x14">
        <control shapeId="8193" r:id="rId5" name="CommandButton1">
          <controlPr locked="0" defaultSize="0" autoLine="0" autoPict="0" r:id="rId6">
            <anchor moveWithCells="1">
              <from>
                <xdr:col>8</xdr:col>
                <xdr:colOff>297180</xdr:colOff>
                <xdr:row>0</xdr:row>
                <xdr:rowOff>38100</xdr:rowOff>
              </from>
              <to>
                <xdr:col>10</xdr:col>
                <xdr:colOff>655320</xdr:colOff>
                <xdr:row>1</xdr:row>
                <xdr:rowOff>106680</xdr:rowOff>
              </to>
            </anchor>
          </controlPr>
        </control>
      </mc:Choice>
      <mc:Fallback>
        <control shapeId="8193" r:id="rId5" name="CommandButton1"/>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wines"/>
  <dimension ref="A1:K37"/>
  <sheetViews>
    <sheetView topLeftCell="P1" zoomScaleNormal="100" workbookViewId="0">
      <pane ySplit="2" topLeftCell="A3" activePane="bottomLeft" state="frozen"/>
      <selection pane="bottomLeft" activeCell="C2" sqref="C2"/>
    </sheetView>
  </sheetViews>
  <sheetFormatPr defaultColWidth="9.109375" defaultRowHeight="15.6" x14ac:dyDescent="0.3"/>
  <cols>
    <col min="1" max="1" width="3" style="1" customWidth="1"/>
    <col min="2" max="2" width="4.109375" style="5" customWidth="1"/>
    <col min="3" max="3" width="17.88671875" style="6" customWidth="1"/>
    <col min="4" max="6" width="18.5546875" style="1" customWidth="1"/>
    <col min="7" max="7" width="1" style="1" customWidth="1"/>
    <col min="8" max="8" width="4.44140625" style="44" customWidth="1"/>
    <col min="9" max="9" width="4.44140625" style="1" customWidth="1"/>
    <col min="10" max="10" width="10" style="1" customWidth="1"/>
    <col min="11" max="11" width="22" style="13" hidden="1" customWidth="1"/>
    <col min="12" max="15" width="14.5546875" style="1" customWidth="1"/>
    <col min="16" max="16384" width="9.109375" style="1"/>
  </cols>
  <sheetData>
    <row r="1" spans="1:11" s="183" customFormat="1" ht="66.75" customHeight="1" x14ac:dyDescent="0.3">
      <c r="A1" s="34"/>
      <c r="B1" s="487" t="s">
        <v>194</v>
      </c>
      <c r="C1" s="488"/>
      <c r="D1" s="488"/>
      <c r="E1" s="329"/>
      <c r="F1" s="294" t="s">
        <v>667</v>
      </c>
      <c r="G1" s="34"/>
      <c r="H1" s="260"/>
      <c r="I1" s="34"/>
      <c r="J1" s="34"/>
      <c r="K1" s="45"/>
    </row>
    <row r="2" spans="1:11" s="4" customFormat="1" ht="30.75" customHeight="1" x14ac:dyDescent="0.3">
      <c r="A2" s="22"/>
      <c r="B2" s="27"/>
      <c r="C2" s="330"/>
      <c r="D2" s="179" t="s">
        <v>1</v>
      </c>
      <c r="E2" s="179" t="s">
        <v>2</v>
      </c>
      <c r="F2" s="179" t="s">
        <v>3</v>
      </c>
      <c r="G2" s="36"/>
      <c r="H2" s="185" t="s">
        <v>7</v>
      </c>
      <c r="I2" s="22"/>
      <c r="J2" s="22"/>
      <c r="K2" s="297" t="s">
        <v>135</v>
      </c>
    </row>
    <row r="3" spans="1:11" ht="35.1" customHeight="1" x14ac:dyDescent="0.3">
      <c r="A3" s="17"/>
      <c r="B3" s="19" t="s">
        <v>195</v>
      </c>
      <c r="C3" s="29" t="s">
        <v>200</v>
      </c>
      <c r="D3" s="52" t="s">
        <v>139</v>
      </c>
      <c r="E3" s="52"/>
      <c r="F3" s="52"/>
      <c r="G3" s="17"/>
      <c r="H3" s="50">
        <v>1</v>
      </c>
      <c r="I3" s="17"/>
      <c r="J3" s="17"/>
      <c r="K3" s="477" t="s">
        <v>441</v>
      </c>
    </row>
    <row r="4" spans="1:11" ht="35.1" customHeight="1" x14ac:dyDescent="0.3">
      <c r="A4" s="17"/>
      <c r="B4" s="19" t="s">
        <v>196</v>
      </c>
      <c r="C4" s="29" t="s">
        <v>201</v>
      </c>
      <c r="D4" s="52" t="s">
        <v>185</v>
      </c>
      <c r="E4" s="52" t="s">
        <v>139</v>
      </c>
      <c r="F4" s="52" t="s">
        <v>185</v>
      </c>
      <c r="G4" s="17"/>
      <c r="H4" s="50">
        <v>3</v>
      </c>
      <c r="I4" s="17"/>
      <c r="J4" s="17"/>
      <c r="K4" s="489"/>
    </row>
    <row r="5" spans="1:11" ht="35.1" customHeight="1" x14ac:dyDescent="0.3">
      <c r="A5" s="17"/>
      <c r="B5" s="19" t="s">
        <v>197</v>
      </c>
      <c r="C5" s="29" t="s">
        <v>202</v>
      </c>
      <c r="D5" s="52"/>
      <c r="E5" s="52"/>
      <c r="F5" s="52"/>
      <c r="G5" s="17"/>
      <c r="H5" s="50">
        <v>0</v>
      </c>
      <c r="I5" s="17"/>
      <c r="J5" s="17"/>
      <c r="K5" s="489"/>
    </row>
    <row r="6" spans="1:11" ht="35.1" customHeight="1" x14ac:dyDescent="0.3">
      <c r="A6" s="17"/>
      <c r="B6" s="19" t="s">
        <v>198</v>
      </c>
      <c r="C6" s="29" t="s">
        <v>203</v>
      </c>
      <c r="D6" s="52" t="s">
        <v>185</v>
      </c>
      <c r="E6" s="52" t="s">
        <v>185</v>
      </c>
      <c r="F6" s="52"/>
      <c r="G6" s="17"/>
      <c r="H6" s="50">
        <v>2</v>
      </c>
      <c r="I6" s="17"/>
      <c r="J6" s="17"/>
      <c r="K6" s="489"/>
    </row>
    <row r="7" spans="1:11" ht="35.1" customHeight="1" x14ac:dyDescent="0.3">
      <c r="A7" s="17"/>
      <c r="B7" s="19" t="s">
        <v>199</v>
      </c>
      <c r="C7" s="29" t="s">
        <v>204</v>
      </c>
      <c r="D7" s="52" t="s">
        <v>814</v>
      </c>
      <c r="E7" s="52" t="s">
        <v>139</v>
      </c>
      <c r="F7" s="52" t="s">
        <v>504</v>
      </c>
      <c r="G7" s="17"/>
      <c r="H7" s="50">
        <v>6</v>
      </c>
      <c r="I7" s="17"/>
      <c r="J7" s="17"/>
      <c r="K7" s="489"/>
    </row>
    <row r="8" spans="1:11" ht="35.1" customHeight="1" x14ac:dyDescent="0.35">
      <c r="A8" s="17"/>
      <c r="B8" s="30"/>
      <c r="C8" s="332"/>
      <c r="D8" s="332" t="s">
        <v>447</v>
      </c>
      <c r="E8" s="72"/>
      <c r="F8" s="72"/>
      <c r="G8" s="17"/>
      <c r="H8" s="54"/>
      <c r="I8" s="17"/>
      <c r="J8" s="17"/>
      <c r="K8" s="489"/>
    </row>
    <row r="9" spans="1:11" ht="35.1" customHeight="1" x14ac:dyDescent="0.3">
      <c r="A9" s="17"/>
      <c r="B9" s="76"/>
      <c r="C9" s="87" t="s">
        <v>210</v>
      </c>
      <c r="D9" s="352" t="s">
        <v>814</v>
      </c>
      <c r="E9" s="17"/>
      <c r="F9" s="17"/>
      <c r="G9" s="17"/>
      <c r="H9" s="21"/>
      <c r="I9" s="17"/>
      <c r="J9" s="17"/>
      <c r="K9" s="489"/>
    </row>
    <row r="10" spans="1:11" ht="35.1" customHeight="1" x14ac:dyDescent="0.3">
      <c r="A10" s="17"/>
      <c r="B10" s="32"/>
      <c r="C10" s="87" t="s">
        <v>6</v>
      </c>
      <c r="D10" s="51" t="s">
        <v>204</v>
      </c>
      <c r="E10" s="17"/>
      <c r="F10" s="17"/>
      <c r="G10" s="17"/>
      <c r="H10" s="54"/>
      <c r="I10" s="17"/>
      <c r="J10" s="17"/>
      <c r="K10" s="489"/>
    </row>
    <row r="11" spans="1:11" ht="35.1" customHeight="1" x14ac:dyDescent="0.3">
      <c r="A11" s="17"/>
      <c r="B11" s="76"/>
      <c r="C11" s="87"/>
      <c r="D11" s="17"/>
      <c r="E11" s="88"/>
      <c r="F11" s="17"/>
      <c r="G11" s="17"/>
      <c r="H11" s="21"/>
      <c r="I11" s="17"/>
      <c r="J11" s="17"/>
      <c r="K11" s="489"/>
    </row>
    <row r="12" spans="1:11" ht="35.1" customHeight="1" x14ac:dyDescent="0.3">
      <c r="A12" s="17"/>
      <c r="B12" s="76"/>
      <c r="C12" s="188"/>
      <c r="D12" s="177"/>
      <c r="E12" s="177"/>
      <c r="F12" s="177"/>
      <c r="G12" s="177"/>
      <c r="H12" s="177"/>
      <c r="I12" s="17"/>
      <c r="J12" s="17"/>
      <c r="K12" s="489"/>
    </row>
    <row r="13" spans="1:11" ht="35.1" customHeight="1" x14ac:dyDescent="0.3">
      <c r="A13" s="17"/>
      <c r="B13" s="76"/>
      <c r="C13" s="188"/>
      <c r="D13" s="177"/>
      <c r="E13" s="177"/>
      <c r="F13" s="177"/>
      <c r="G13" s="177"/>
      <c r="H13" s="177"/>
      <c r="I13" s="17"/>
      <c r="J13" s="17"/>
      <c r="K13" s="489"/>
    </row>
    <row r="14" spans="1:11" ht="35.1" customHeight="1" x14ac:dyDescent="0.3">
      <c r="A14" s="17"/>
      <c r="B14" s="76"/>
      <c r="C14" s="188"/>
      <c r="D14" s="177"/>
      <c r="E14" s="177"/>
      <c r="F14" s="177"/>
      <c r="G14" s="177"/>
      <c r="H14" s="177"/>
      <c r="I14" s="17"/>
      <c r="J14" s="17"/>
      <c r="K14" s="489"/>
    </row>
    <row r="15" spans="1:11" ht="21" customHeight="1" x14ac:dyDescent="0.3">
      <c r="A15" s="17"/>
      <c r="B15" s="76"/>
      <c r="C15" s="188"/>
      <c r="D15" s="177"/>
      <c r="E15" s="177"/>
      <c r="F15" s="177"/>
      <c r="G15" s="177"/>
      <c r="H15" s="177"/>
      <c r="I15" s="17"/>
      <c r="J15" s="17"/>
      <c r="K15" s="489"/>
    </row>
    <row r="16" spans="1:11" ht="30" customHeight="1" x14ac:dyDescent="0.3">
      <c r="A16" s="17"/>
      <c r="B16" s="76"/>
      <c r="C16" s="188"/>
      <c r="D16" s="177"/>
      <c r="E16" s="177"/>
      <c r="F16" s="177"/>
      <c r="G16" s="177"/>
      <c r="H16" s="177"/>
      <c r="I16" s="17"/>
      <c r="J16" s="17"/>
      <c r="K16" s="489"/>
    </row>
    <row r="17" spans="1:11" ht="31.5" customHeight="1" x14ac:dyDescent="0.3">
      <c r="A17" s="17"/>
      <c r="B17" s="76"/>
      <c r="C17" s="485"/>
      <c r="D17" s="486"/>
      <c r="E17" s="486"/>
      <c r="F17" s="486"/>
      <c r="G17" s="177"/>
      <c r="H17" s="177"/>
      <c r="I17" s="17"/>
      <c r="J17" s="17"/>
      <c r="K17" s="489"/>
    </row>
    <row r="18" spans="1:11" x14ac:dyDescent="0.3">
      <c r="A18" s="17"/>
      <c r="B18" s="76"/>
      <c r="C18" s="486"/>
      <c r="D18" s="486"/>
      <c r="E18" s="486"/>
      <c r="F18" s="486"/>
      <c r="G18" s="177"/>
      <c r="H18" s="177"/>
      <c r="I18" s="177"/>
      <c r="J18" s="177"/>
      <c r="K18" s="478"/>
    </row>
    <row r="19" spans="1:11" ht="11.25" customHeight="1" x14ac:dyDescent="0.3">
      <c r="A19" s="17"/>
      <c r="B19" s="76"/>
      <c r="C19" s="486"/>
      <c r="D19" s="486"/>
      <c r="E19" s="486"/>
      <c r="F19" s="486"/>
      <c r="G19" s="177"/>
      <c r="H19" s="177"/>
      <c r="I19" s="177"/>
      <c r="J19" s="177"/>
      <c r="K19" s="478"/>
    </row>
    <row r="20" spans="1:11" ht="39.9" customHeight="1" x14ac:dyDescent="0.3">
      <c r="I20" s="331"/>
      <c r="J20" s="331"/>
      <c r="K20" s="478"/>
    </row>
    <row r="21" spans="1:11" ht="39.9" customHeight="1" x14ac:dyDescent="0.3">
      <c r="K21" s="478"/>
    </row>
    <row r="22" spans="1:11" ht="39.9" customHeight="1" x14ac:dyDescent="0.3">
      <c r="K22" s="478"/>
    </row>
    <row r="23" spans="1:11" ht="39.9" customHeight="1" x14ac:dyDescent="0.3">
      <c r="K23" s="478"/>
    </row>
    <row r="24" spans="1:11" x14ac:dyDescent="0.3">
      <c r="K24" s="478"/>
    </row>
    <row r="25" spans="1:11" x14ac:dyDescent="0.3">
      <c r="K25" s="478"/>
    </row>
    <row r="26" spans="1:11" x14ac:dyDescent="0.3">
      <c r="K26" s="478"/>
    </row>
    <row r="27" spans="1:11" x14ac:dyDescent="0.3">
      <c r="K27" s="478"/>
    </row>
    <row r="28" spans="1:11" x14ac:dyDescent="0.3">
      <c r="K28" s="478"/>
    </row>
    <row r="29" spans="1:11" x14ac:dyDescent="0.3">
      <c r="K29" s="478"/>
    </row>
    <row r="30" spans="1:11" x14ac:dyDescent="0.3">
      <c r="K30" s="478"/>
    </row>
    <row r="31" spans="1:11" x14ac:dyDescent="0.3">
      <c r="K31" s="478"/>
    </row>
    <row r="32" spans="1:11" x14ac:dyDescent="0.3">
      <c r="K32" s="478"/>
    </row>
    <row r="33" spans="11:11" x14ac:dyDescent="0.3">
      <c r="K33" s="478"/>
    </row>
    <row r="34" spans="11:11" x14ac:dyDescent="0.3">
      <c r="K34" s="478"/>
    </row>
    <row r="35" spans="11:11" x14ac:dyDescent="0.3">
      <c r="K35" s="478"/>
    </row>
    <row r="36" spans="11:11" x14ac:dyDescent="0.3">
      <c r="K36" s="478"/>
    </row>
    <row r="37" spans="11:11" x14ac:dyDescent="0.3">
      <c r="K37" s="478"/>
    </row>
  </sheetData>
  <customSheetViews>
    <customSheetView guid="{468281ED-4ADC-4BB5-9EE5-E9016B5EB30D}">
      <pane ySplit="2" topLeftCell="A4" activePane="bottomLeft" state="frozen"/>
      <selection pane="bottomLeft" activeCell="C2" sqref="C2"/>
      <pageMargins left="0.51181102362204722" right="0.51181102362204722" top="0.98425196850393704" bottom="0.74803149606299213" header="0.19685039370078741" footer="0.31496062992125984"/>
      <pageSetup paperSize="9" orientation="portrait" horizontalDpi="4294967293" r:id="rId1"/>
    </customSheetView>
  </customSheetViews>
  <mergeCells count="3">
    <mergeCell ref="C17:F19"/>
    <mergeCell ref="B1:D1"/>
    <mergeCell ref="K3:K37"/>
  </mergeCells>
  <pageMargins left="0.51181102362204722" right="0.51181102362204722" top="0.98425196850393704" bottom="0.74803149606299213" header="0.19685039370078741" footer="0.31496062992125984"/>
  <pageSetup paperSize="9" orientation="portrait" horizontalDpi="4294967293" r:id="rId2"/>
  <drawing r:id="rId3"/>
  <legacyDrawing r:id="rId4"/>
  <controls>
    <mc:AlternateContent xmlns:mc="http://schemas.openxmlformats.org/markup-compatibility/2006">
      <mc:Choice Requires="x14">
        <control shapeId="22529" r:id="rId5" name="CommandButton1">
          <controlPr locked="0" defaultSize="0" autoLine="0" r:id="rId6">
            <anchor moveWithCells="1">
              <from>
                <xdr:col>11</xdr:col>
                <xdr:colOff>297180</xdr:colOff>
                <xdr:row>0</xdr:row>
                <xdr:rowOff>38100</xdr:rowOff>
              </from>
              <to>
                <xdr:col>12</xdr:col>
                <xdr:colOff>960120</xdr:colOff>
                <xdr:row>0</xdr:row>
                <xdr:rowOff>662940</xdr:rowOff>
              </to>
            </anchor>
          </controlPr>
        </control>
      </mc:Choice>
      <mc:Fallback>
        <control shapeId="22529" r:id="rId5" name="CommandButton1"/>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npq">
    <pageSetUpPr fitToPage="1"/>
  </sheetPr>
  <dimension ref="A1:L56"/>
  <sheetViews>
    <sheetView zoomScale="90" zoomScaleNormal="90" workbookViewId="0">
      <pane ySplit="2" topLeftCell="A17" activePane="bottomLeft" state="frozen"/>
      <selection pane="bottomLeft" activeCell="C2" sqref="C2"/>
    </sheetView>
  </sheetViews>
  <sheetFormatPr defaultColWidth="9.109375" defaultRowHeight="15.6" x14ac:dyDescent="0.3"/>
  <cols>
    <col min="1" max="1" width="1.5546875" style="1" customWidth="1"/>
    <col min="2" max="2" width="4.109375" style="5" customWidth="1"/>
    <col min="3" max="3" width="21.44140625" style="6" customWidth="1"/>
    <col min="4" max="6" width="18.5546875" style="1" customWidth="1"/>
    <col min="7" max="7" width="0.88671875" style="1" customWidth="1"/>
    <col min="8" max="8" width="6.88671875" style="44" customWidth="1"/>
    <col min="9" max="9" width="2.88671875" style="1" customWidth="1"/>
    <col min="10" max="10" width="5.109375" style="1" customWidth="1"/>
    <col min="11" max="11" width="22.5546875" style="1" hidden="1" customWidth="1"/>
    <col min="12" max="12" width="12.5546875" style="1" customWidth="1"/>
    <col min="13" max="16384" width="9.109375" style="1"/>
  </cols>
  <sheetData>
    <row r="1" spans="1:12" s="175" customFormat="1" ht="26.25" customHeight="1" x14ac:dyDescent="0.3">
      <c r="A1" s="39"/>
      <c r="B1" s="259" t="s">
        <v>230</v>
      </c>
      <c r="C1" s="187"/>
      <c r="D1" s="39"/>
      <c r="E1" s="334"/>
      <c r="F1" s="294" t="s">
        <v>667</v>
      </c>
      <c r="G1" s="174"/>
      <c r="H1" s="30"/>
      <c r="I1" s="39"/>
      <c r="J1" s="39"/>
      <c r="K1" s="39"/>
      <c r="L1" s="39"/>
    </row>
    <row r="2" spans="1:12" s="4" customFormat="1" ht="30.75" customHeight="1" x14ac:dyDescent="0.3">
      <c r="A2" s="22"/>
      <c r="B2" s="76"/>
      <c r="C2" s="353" t="s">
        <v>883</v>
      </c>
      <c r="D2" s="53" t="s">
        <v>1</v>
      </c>
      <c r="E2" s="53" t="s">
        <v>2</v>
      </c>
      <c r="F2" s="53" t="s">
        <v>3</v>
      </c>
      <c r="G2" s="36"/>
      <c r="H2" s="77" t="s">
        <v>7</v>
      </c>
      <c r="I2" s="22"/>
      <c r="J2" s="22"/>
      <c r="K2" s="297" t="s">
        <v>135</v>
      </c>
      <c r="L2" s="22"/>
    </row>
    <row r="3" spans="1:12" ht="35.1" customHeight="1" x14ac:dyDescent="0.3">
      <c r="A3" s="17"/>
      <c r="B3" s="31" t="s">
        <v>191</v>
      </c>
      <c r="C3" s="28"/>
      <c r="D3" s="37"/>
      <c r="E3" s="37"/>
      <c r="F3" s="37"/>
      <c r="G3" s="36"/>
      <c r="H3" s="53"/>
      <c r="I3" s="17"/>
      <c r="J3" s="17"/>
      <c r="K3" s="490" t="s">
        <v>441</v>
      </c>
      <c r="L3" s="17"/>
    </row>
    <row r="4" spans="1:12" ht="35.1" customHeight="1" x14ac:dyDescent="0.3">
      <c r="A4" s="17"/>
      <c r="B4" s="19" t="s">
        <v>122</v>
      </c>
      <c r="C4" s="29" t="s">
        <v>228</v>
      </c>
      <c r="D4" s="275"/>
      <c r="E4" s="52"/>
      <c r="F4" s="52"/>
      <c r="G4" s="17"/>
      <c r="H4" s="50">
        <v>0</v>
      </c>
      <c r="I4" s="17"/>
      <c r="J4" s="17"/>
      <c r="K4" s="479"/>
      <c r="L4" s="17"/>
    </row>
    <row r="5" spans="1:12" ht="35.1" customHeight="1" x14ac:dyDescent="0.3">
      <c r="A5" s="17"/>
      <c r="B5" s="19" t="s">
        <v>123</v>
      </c>
      <c r="C5" s="29" t="s">
        <v>227</v>
      </c>
      <c r="D5" s="275" t="s">
        <v>848</v>
      </c>
      <c r="E5" s="52" t="s">
        <v>846</v>
      </c>
      <c r="F5" s="52" t="s">
        <v>806</v>
      </c>
      <c r="G5" s="17"/>
      <c r="H5" s="50">
        <v>5</v>
      </c>
      <c r="I5" s="17"/>
      <c r="J5" s="17"/>
      <c r="K5" s="479"/>
      <c r="L5" s="17"/>
    </row>
    <row r="6" spans="1:12" ht="35.1" customHeight="1" x14ac:dyDescent="0.3">
      <c r="A6" s="17"/>
      <c r="B6" s="19" t="s">
        <v>124</v>
      </c>
      <c r="C6" s="29" t="s">
        <v>449</v>
      </c>
      <c r="D6" s="275" t="s">
        <v>864</v>
      </c>
      <c r="E6" s="52"/>
      <c r="F6" s="52"/>
      <c r="G6" s="17"/>
      <c r="H6" s="50">
        <v>2</v>
      </c>
      <c r="I6" s="17"/>
      <c r="J6" s="17"/>
      <c r="K6" s="479"/>
      <c r="L6" s="17"/>
    </row>
    <row r="7" spans="1:12" ht="35.1" customHeight="1" x14ac:dyDescent="0.3">
      <c r="A7" s="17"/>
      <c r="B7" s="19" t="s">
        <v>192</v>
      </c>
      <c r="C7" s="29" t="s">
        <v>450</v>
      </c>
      <c r="D7" s="275"/>
      <c r="E7" s="52"/>
      <c r="F7" s="52"/>
      <c r="G7" s="17"/>
      <c r="H7" s="50">
        <v>0</v>
      </c>
      <c r="I7" s="17"/>
      <c r="J7" s="17"/>
      <c r="K7" s="479"/>
      <c r="L7" s="17"/>
    </row>
    <row r="8" spans="1:12" ht="35.1" customHeight="1" x14ac:dyDescent="0.3">
      <c r="A8" s="17"/>
      <c r="B8" s="19" t="s">
        <v>193</v>
      </c>
      <c r="C8" s="29" t="s">
        <v>700</v>
      </c>
      <c r="D8" s="275" t="s">
        <v>509</v>
      </c>
      <c r="E8" s="52" t="s">
        <v>876</v>
      </c>
      <c r="F8" s="52" t="s">
        <v>871</v>
      </c>
      <c r="G8" s="17"/>
      <c r="H8" s="50">
        <v>10</v>
      </c>
      <c r="I8" s="17"/>
      <c r="J8" s="17"/>
      <c r="K8" s="479"/>
      <c r="L8" s="17"/>
    </row>
    <row r="9" spans="1:12" ht="35.1" customHeight="1" x14ac:dyDescent="0.3">
      <c r="A9" s="17"/>
      <c r="B9" s="19" t="s">
        <v>205</v>
      </c>
      <c r="C9" s="29" t="s">
        <v>437</v>
      </c>
      <c r="D9" s="275" t="s">
        <v>812</v>
      </c>
      <c r="E9" s="275" t="s">
        <v>864</v>
      </c>
      <c r="F9" s="74"/>
      <c r="G9" s="17"/>
      <c r="H9" s="50">
        <v>5</v>
      </c>
      <c r="I9" s="17"/>
      <c r="J9" s="17"/>
      <c r="K9" s="479"/>
      <c r="L9" s="17"/>
    </row>
    <row r="10" spans="1:12" ht="35.1" customHeight="1" x14ac:dyDescent="0.3">
      <c r="A10" s="17"/>
      <c r="B10" s="19" t="s">
        <v>206</v>
      </c>
      <c r="C10" s="29" t="s">
        <v>701</v>
      </c>
      <c r="D10" s="275" t="s">
        <v>879</v>
      </c>
      <c r="E10" s="52"/>
      <c r="F10" s="52"/>
      <c r="G10" s="17"/>
      <c r="H10" s="50">
        <v>1</v>
      </c>
      <c r="I10" s="17"/>
      <c r="J10" s="17"/>
      <c r="K10" s="479"/>
      <c r="L10" s="17"/>
    </row>
    <row r="11" spans="1:12" ht="35.1" customHeight="1" x14ac:dyDescent="0.3">
      <c r="A11" s="17"/>
      <c r="B11" s="19" t="s">
        <v>438</v>
      </c>
      <c r="C11" s="29" t="s">
        <v>792</v>
      </c>
      <c r="D11" s="275"/>
      <c r="E11" s="52"/>
      <c r="F11" s="52"/>
      <c r="G11" s="17"/>
      <c r="H11" s="50">
        <v>0</v>
      </c>
      <c r="I11" s="17"/>
      <c r="J11" s="17"/>
      <c r="K11" s="479"/>
      <c r="L11" s="17"/>
    </row>
    <row r="12" spans="1:12" ht="35.1" customHeight="1" x14ac:dyDescent="0.3">
      <c r="A12" s="17"/>
      <c r="B12" s="19" t="s">
        <v>702</v>
      </c>
      <c r="C12" s="29" t="s">
        <v>793</v>
      </c>
      <c r="D12" s="275"/>
      <c r="E12" s="52"/>
      <c r="F12" s="52"/>
      <c r="G12" s="17"/>
      <c r="H12" s="50">
        <v>0</v>
      </c>
      <c r="I12" s="17"/>
      <c r="J12" s="17"/>
      <c r="K12" s="479"/>
      <c r="L12" s="17"/>
    </row>
    <row r="13" spans="1:12" ht="35.1" customHeight="1" x14ac:dyDescent="0.3">
      <c r="A13" s="17"/>
      <c r="B13" s="462" t="s">
        <v>703</v>
      </c>
      <c r="C13" s="463" t="s">
        <v>794</v>
      </c>
      <c r="D13" s="275"/>
      <c r="E13" s="74"/>
      <c r="F13" s="52"/>
      <c r="G13" s="17"/>
      <c r="H13" s="50">
        <v>0</v>
      </c>
      <c r="I13" s="17"/>
      <c r="J13" s="17"/>
      <c r="K13" s="479"/>
      <c r="L13" s="17"/>
    </row>
    <row r="14" spans="1:12" ht="8.1" customHeight="1" x14ac:dyDescent="0.3">
      <c r="A14" s="17"/>
      <c r="B14" s="465"/>
      <c r="C14" s="468"/>
      <c r="D14" s="466"/>
      <c r="E14" s="466"/>
      <c r="F14" s="72"/>
      <c r="G14" s="17"/>
      <c r="H14" s="54"/>
      <c r="I14" s="17"/>
      <c r="J14" s="17"/>
      <c r="K14" s="479"/>
      <c r="L14" s="17"/>
    </row>
    <row r="15" spans="1:12" ht="47.4" customHeight="1" x14ac:dyDescent="0.3">
      <c r="A15" s="17"/>
      <c r="B15" s="30"/>
      <c r="C15" s="470"/>
      <c r="D15" s="467" t="s">
        <v>705</v>
      </c>
      <c r="E15" s="464" t="s">
        <v>704</v>
      </c>
      <c r="F15" s="72"/>
      <c r="G15" s="17"/>
      <c r="H15" s="54"/>
      <c r="I15" s="17"/>
      <c r="J15" s="17"/>
      <c r="K15" s="479"/>
      <c r="L15" s="17"/>
    </row>
    <row r="16" spans="1:12" ht="35.1" customHeight="1" x14ac:dyDescent="0.3">
      <c r="A16" s="17"/>
      <c r="B16" s="30"/>
      <c r="C16" s="469" t="s">
        <v>136</v>
      </c>
      <c r="D16" s="275" t="s">
        <v>864</v>
      </c>
      <c r="E16" s="52"/>
      <c r="F16" s="72"/>
      <c r="G16" s="17"/>
      <c r="H16" s="54"/>
      <c r="I16" s="17"/>
      <c r="J16" s="17"/>
      <c r="K16" s="479"/>
      <c r="L16" s="17"/>
    </row>
    <row r="17" spans="1:12" ht="22.35" customHeight="1" x14ac:dyDescent="0.3">
      <c r="A17" s="17"/>
      <c r="B17" s="30"/>
      <c r="C17" s="360" t="s">
        <v>183</v>
      </c>
      <c r="D17" s="461" t="s">
        <v>891</v>
      </c>
      <c r="E17" s="72"/>
      <c r="F17" s="72"/>
      <c r="G17" s="17"/>
      <c r="H17" s="54"/>
      <c r="I17" s="17"/>
      <c r="J17" s="17"/>
      <c r="K17" s="479"/>
      <c r="L17" s="17"/>
    </row>
    <row r="18" spans="1:12" ht="35.1" customHeight="1" x14ac:dyDescent="0.3">
      <c r="A18" s="17"/>
      <c r="B18" s="31" t="s">
        <v>229</v>
      </c>
      <c r="C18" s="32"/>
      <c r="D18" s="47"/>
      <c r="E18" s="47"/>
      <c r="F18" s="47"/>
      <c r="G18" s="17"/>
      <c r="H18" s="54"/>
      <c r="I18" s="17"/>
      <c r="J18" s="17"/>
      <c r="K18" s="479"/>
      <c r="L18" s="17"/>
    </row>
    <row r="19" spans="1:12" ht="35.1" customHeight="1" x14ac:dyDescent="0.3">
      <c r="A19" s="17"/>
      <c r="B19" s="23" t="s">
        <v>125</v>
      </c>
      <c r="C19" s="29" t="s">
        <v>227</v>
      </c>
      <c r="D19" s="49" t="s">
        <v>926</v>
      </c>
      <c r="E19" s="49" t="s">
        <v>10</v>
      </c>
      <c r="F19" s="49" t="s">
        <v>8</v>
      </c>
      <c r="G19" s="17"/>
      <c r="H19" s="71"/>
      <c r="I19" s="17"/>
      <c r="J19" s="17"/>
      <c r="K19" s="479"/>
      <c r="L19" s="17"/>
    </row>
    <row r="20" spans="1:12" ht="35.1" customHeight="1" x14ac:dyDescent="0.3">
      <c r="A20" s="17"/>
      <c r="B20" s="23" t="s">
        <v>126</v>
      </c>
      <c r="C20" s="29" t="s">
        <v>211</v>
      </c>
      <c r="D20" s="52" t="s">
        <v>143</v>
      </c>
      <c r="E20" s="52" t="s">
        <v>8</v>
      </c>
      <c r="F20" s="52" t="s">
        <v>9</v>
      </c>
      <c r="G20" s="17"/>
      <c r="H20" s="71">
        <v>4</v>
      </c>
      <c r="I20" s="17"/>
      <c r="J20" s="17"/>
      <c r="K20" s="479"/>
      <c r="L20" s="17"/>
    </row>
    <row r="21" spans="1:12" ht="6.9" customHeight="1" x14ac:dyDescent="0.3">
      <c r="A21" s="17"/>
      <c r="B21" s="76"/>
      <c r="C21" s="188"/>
      <c r="D21" s="17"/>
      <c r="E21" s="17"/>
      <c r="F21" s="17"/>
      <c r="G21" s="17"/>
      <c r="H21" s="21"/>
      <c r="I21" s="17"/>
      <c r="J21" s="17"/>
      <c r="K21" s="479"/>
      <c r="L21" s="17"/>
    </row>
    <row r="22" spans="1:12" ht="35.1" customHeight="1" x14ac:dyDescent="0.3">
      <c r="A22" s="17"/>
      <c r="B22" s="31" t="s">
        <v>130</v>
      </c>
      <c r="C22" s="32"/>
      <c r="D22" s="47"/>
      <c r="E22" s="47"/>
      <c r="F22" s="47"/>
      <c r="G22" s="17"/>
      <c r="H22" s="54"/>
      <c r="I22" s="17"/>
      <c r="J22" s="17"/>
      <c r="K22" s="479"/>
      <c r="L22" s="17"/>
    </row>
    <row r="23" spans="1:12" ht="33" customHeight="1" x14ac:dyDescent="0.3">
      <c r="A23" s="17"/>
      <c r="B23" s="19" t="s">
        <v>127</v>
      </c>
      <c r="C23" s="184" t="s">
        <v>699</v>
      </c>
      <c r="D23" s="52" t="s">
        <v>143</v>
      </c>
      <c r="E23" s="361" t="s">
        <v>11</v>
      </c>
      <c r="F23" s="52"/>
      <c r="G23" s="17"/>
      <c r="H23" s="50">
        <v>2</v>
      </c>
      <c r="I23" s="17"/>
      <c r="J23" s="17"/>
      <c r="K23" s="479"/>
      <c r="L23" s="17"/>
    </row>
    <row r="24" spans="1:12" ht="30" customHeight="1" x14ac:dyDescent="0.3">
      <c r="A24" s="17"/>
      <c r="B24" s="19" t="s">
        <v>128</v>
      </c>
      <c r="C24" s="184" t="s">
        <v>538</v>
      </c>
      <c r="D24" s="52" t="s">
        <v>138</v>
      </c>
      <c r="E24" s="361"/>
      <c r="F24" s="52"/>
      <c r="G24" s="17"/>
      <c r="H24" s="50">
        <v>1</v>
      </c>
      <c r="I24" s="17"/>
      <c r="J24" s="17"/>
      <c r="K24" s="479"/>
      <c r="L24" s="17"/>
    </row>
    <row r="25" spans="1:12" ht="35.1" customHeight="1" x14ac:dyDescent="0.3">
      <c r="A25" s="17"/>
      <c r="B25" s="19" t="s">
        <v>129</v>
      </c>
      <c r="C25" s="184" t="s">
        <v>698</v>
      </c>
      <c r="D25" s="52" t="s">
        <v>236</v>
      </c>
      <c r="E25" s="52" t="s">
        <v>143</v>
      </c>
      <c r="F25" s="52" t="s">
        <v>836</v>
      </c>
      <c r="G25" s="17"/>
      <c r="H25" s="50">
        <v>3</v>
      </c>
      <c r="I25" s="17"/>
      <c r="J25" s="17"/>
      <c r="K25" s="479"/>
      <c r="L25" s="17"/>
    </row>
    <row r="26" spans="1:12" ht="11.4" customHeight="1" x14ac:dyDescent="0.3">
      <c r="A26" s="17"/>
      <c r="B26" s="76"/>
      <c r="C26" s="176"/>
      <c r="D26" s="176"/>
      <c r="E26" s="176"/>
      <c r="F26" s="176"/>
      <c r="G26" s="176"/>
      <c r="H26" s="176"/>
      <c r="I26" s="177"/>
      <c r="J26" s="177"/>
      <c r="K26" s="478"/>
      <c r="L26" s="17"/>
    </row>
    <row r="27" spans="1:12" ht="35.1" customHeight="1" x14ac:dyDescent="0.3">
      <c r="A27" s="17"/>
      <c r="B27" s="76"/>
      <c r="C27" s="176"/>
      <c r="D27" s="176"/>
      <c r="E27" s="176"/>
      <c r="F27" s="176"/>
      <c r="G27" s="176"/>
      <c r="H27" s="176"/>
      <c r="I27" s="177"/>
      <c r="J27" s="177"/>
      <c r="K27" s="478"/>
      <c r="L27" s="17"/>
    </row>
    <row r="28" spans="1:12" ht="35.1" customHeight="1" x14ac:dyDescent="0.3">
      <c r="A28" s="17"/>
      <c r="B28" s="76"/>
      <c r="C28" s="188"/>
      <c r="D28" s="17"/>
      <c r="E28" s="17"/>
      <c r="F28" s="17"/>
      <c r="G28" s="17"/>
      <c r="H28" s="21"/>
      <c r="I28" s="17"/>
      <c r="J28" s="17"/>
      <c r="K28" s="478"/>
      <c r="L28" s="17"/>
    </row>
    <row r="29" spans="1:12" x14ac:dyDescent="0.3">
      <c r="A29" s="17"/>
      <c r="B29" s="76"/>
      <c r="C29" s="188"/>
      <c r="D29" s="17"/>
      <c r="E29" s="17"/>
      <c r="F29" s="17"/>
      <c r="G29" s="17"/>
      <c r="H29" s="21"/>
      <c r="I29" s="17"/>
      <c r="J29" s="17"/>
      <c r="K29" s="478"/>
      <c r="L29" s="17"/>
    </row>
    <row r="30" spans="1:12" x14ac:dyDescent="0.3">
      <c r="A30" s="17"/>
      <c r="I30" s="17"/>
      <c r="J30" s="17"/>
      <c r="K30" s="478"/>
      <c r="L30" s="17"/>
    </row>
    <row r="31" spans="1:12" x14ac:dyDescent="0.3">
      <c r="K31" s="478"/>
    </row>
    <row r="32" spans="1:12" x14ac:dyDescent="0.3">
      <c r="K32" s="478"/>
    </row>
    <row r="33" spans="11:11" x14ac:dyDescent="0.3">
      <c r="K33" s="478"/>
    </row>
    <row r="34" spans="11:11" x14ac:dyDescent="0.3">
      <c r="K34" s="478"/>
    </row>
    <row r="35" spans="11:11" x14ac:dyDescent="0.3">
      <c r="K35" s="478"/>
    </row>
    <row r="36" spans="11:11" x14ac:dyDescent="0.3">
      <c r="K36" s="478"/>
    </row>
    <row r="37" spans="11:11" x14ac:dyDescent="0.3">
      <c r="K37" s="478"/>
    </row>
    <row r="38" spans="11:11" x14ac:dyDescent="0.3">
      <c r="K38" s="478"/>
    </row>
    <row r="39" spans="11:11" x14ac:dyDescent="0.3">
      <c r="K39" s="478"/>
    </row>
    <row r="40" spans="11:11" x14ac:dyDescent="0.3">
      <c r="K40" s="478"/>
    </row>
    <row r="41" spans="11:11" x14ac:dyDescent="0.3">
      <c r="K41" s="478"/>
    </row>
    <row r="42" spans="11:11" x14ac:dyDescent="0.3">
      <c r="K42" s="478"/>
    </row>
    <row r="43" spans="11:11" x14ac:dyDescent="0.3">
      <c r="K43" s="478"/>
    </row>
    <row r="44" spans="11:11" x14ac:dyDescent="0.3">
      <c r="K44" s="478"/>
    </row>
    <row r="45" spans="11:11" x14ac:dyDescent="0.3">
      <c r="K45" s="478"/>
    </row>
    <row r="46" spans="11:11" x14ac:dyDescent="0.3">
      <c r="K46" s="478"/>
    </row>
    <row r="47" spans="11:11" x14ac:dyDescent="0.3">
      <c r="K47" s="478"/>
    </row>
    <row r="48" spans="11:11" x14ac:dyDescent="0.3">
      <c r="K48" s="478"/>
    </row>
    <row r="49" spans="11:11" x14ac:dyDescent="0.3">
      <c r="K49" s="478"/>
    </row>
    <row r="50" spans="11:11" x14ac:dyDescent="0.3">
      <c r="K50" s="478"/>
    </row>
    <row r="51" spans="11:11" x14ac:dyDescent="0.3">
      <c r="K51" s="478"/>
    </row>
    <row r="52" spans="11:11" x14ac:dyDescent="0.3">
      <c r="K52" s="478"/>
    </row>
    <row r="53" spans="11:11" x14ac:dyDescent="0.3">
      <c r="K53" s="478"/>
    </row>
    <row r="54" spans="11:11" x14ac:dyDescent="0.3">
      <c r="K54" s="478"/>
    </row>
    <row r="55" spans="11:11" x14ac:dyDescent="0.3">
      <c r="K55" s="478"/>
    </row>
    <row r="56" spans="11:11" x14ac:dyDescent="0.3">
      <c r="K56" s="478"/>
    </row>
  </sheetData>
  <customSheetViews>
    <customSheetView guid="{468281ED-4ADC-4BB5-9EE5-E9016B5EB30D}" scale="90">
      <pane ySplit="2" topLeftCell="A18" activePane="bottomLeft" state="frozen"/>
      <selection pane="bottomLeft" activeCell="C2" sqref="C2"/>
      <pageMargins left="0.25" right="0.25" top="0.75" bottom="0.75" header="0.3" footer="0.3"/>
      <printOptions horizontalCentered="1"/>
      <pageSetup paperSize="9" orientation="portrait" horizontalDpi="4294967293" r:id="rId1"/>
    </customSheetView>
  </customSheetViews>
  <mergeCells count="1">
    <mergeCell ref="K3:K56"/>
  </mergeCells>
  <printOptions horizontalCentered="1"/>
  <pageMargins left="0.25" right="0.25" top="0.75" bottom="0.75" header="0.3" footer="0.3"/>
  <pageSetup paperSize="9" scale="89" orientation="portrait" horizontalDpi="4294967293" r:id="rId2"/>
  <drawing r:id="rId3"/>
  <legacyDrawing r:id="rId4"/>
  <controls>
    <mc:AlternateContent xmlns:mc="http://schemas.openxmlformats.org/markup-compatibility/2006">
      <mc:Choice Requires="x14">
        <control shapeId="9219" r:id="rId5" name="CommandButton3">
          <controlPr locked="0" defaultSize="0" autoLine="0" r:id="rId6">
            <anchor moveWithCells="1">
              <from>
                <xdr:col>15</xdr:col>
                <xdr:colOff>7620</xdr:colOff>
                <xdr:row>0</xdr:row>
                <xdr:rowOff>0</xdr:rowOff>
              </from>
              <to>
                <xdr:col>17</xdr:col>
                <xdr:colOff>83820</xdr:colOff>
                <xdr:row>2</xdr:row>
                <xdr:rowOff>30480</xdr:rowOff>
              </to>
            </anchor>
          </controlPr>
        </control>
      </mc:Choice>
      <mc:Fallback>
        <control shapeId="9219" r:id="rId5" name="CommandButton3"/>
      </mc:Fallback>
    </mc:AlternateContent>
    <mc:AlternateContent xmlns:mc="http://schemas.openxmlformats.org/markup-compatibility/2006">
      <mc:Choice Requires="x14">
        <control shapeId="9218" r:id="rId7" name="CommandButton2">
          <controlPr locked="0" defaultSize="0" autoLine="0" r:id="rId8">
            <anchor moveWithCells="1">
              <from>
                <xdr:col>12</xdr:col>
                <xdr:colOff>525780</xdr:colOff>
                <xdr:row>0</xdr:row>
                <xdr:rowOff>0</xdr:rowOff>
              </from>
              <to>
                <xdr:col>14</xdr:col>
                <xdr:colOff>601980</xdr:colOff>
                <xdr:row>2</xdr:row>
                <xdr:rowOff>38100</xdr:rowOff>
              </to>
            </anchor>
          </controlPr>
        </control>
      </mc:Choice>
      <mc:Fallback>
        <control shapeId="9218" r:id="rId7" name="CommandButton2"/>
      </mc:Fallback>
    </mc:AlternateContent>
    <mc:AlternateContent xmlns:mc="http://schemas.openxmlformats.org/markup-compatibility/2006">
      <mc:Choice Requires="x14">
        <control shapeId="9217" r:id="rId9" name="CommandButton1">
          <controlPr locked="0" defaultSize="0" autoLine="0" autoPict="0" r:id="rId10">
            <anchor moveWithCells="1">
              <from>
                <xdr:col>11</xdr:col>
                <xdr:colOff>38100</xdr:colOff>
                <xdr:row>0</xdr:row>
                <xdr:rowOff>0</xdr:rowOff>
              </from>
              <to>
                <xdr:col>12</xdr:col>
                <xdr:colOff>525780</xdr:colOff>
                <xdr:row>2</xdr:row>
                <xdr:rowOff>30480</xdr:rowOff>
              </to>
            </anchor>
          </controlPr>
        </control>
      </mc:Choice>
      <mc:Fallback>
        <control shapeId="9217" r:id="rId9" name="CommandButton1"/>
      </mc:Fallback>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43923F-BA0F-4E69-89E5-32FE77F44EB2}">
  <sheetPr codeName="bests">
    <pageSetUpPr fitToPage="1"/>
  </sheetPr>
  <dimension ref="A1:G31"/>
  <sheetViews>
    <sheetView topLeftCell="A19" workbookViewId="0">
      <selection activeCell="C16" sqref="C16"/>
    </sheetView>
  </sheetViews>
  <sheetFormatPr defaultColWidth="8.88671875" defaultRowHeight="15.6" x14ac:dyDescent="0.3"/>
  <cols>
    <col min="1" max="1" width="20" style="175" bestFit="1" customWidth="1"/>
    <col min="2" max="2" width="31.44140625" style="1" customWidth="1"/>
    <col min="3" max="3" width="31.88671875" style="1" bestFit="1" customWidth="1"/>
    <col min="4" max="4" width="29.109375" style="1" customWidth="1"/>
    <col min="5" max="5" width="30.109375" style="1" customWidth="1"/>
    <col min="6" max="16384" width="8.88671875" style="1"/>
  </cols>
  <sheetData>
    <row r="1" spans="1:6" x14ac:dyDescent="0.3">
      <c r="A1" s="280" t="s">
        <v>301</v>
      </c>
      <c r="D1" s="101"/>
      <c r="E1" s="101"/>
      <c r="F1" s="101"/>
    </row>
    <row r="2" spans="1:6" x14ac:dyDescent="0.3">
      <c r="A2" s="280"/>
      <c r="B2" s="279" t="s">
        <v>299</v>
      </c>
      <c r="C2" s="101" t="s">
        <v>887</v>
      </c>
      <c r="D2" s="101"/>
      <c r="E2" s="101"/>
      <c r="F2" s="101"/>
    </row>
    <row r="3" spans="1:6" x14ac:dyDescent="0.3">
      <c r="A3" s="280"/>
      <c r="B3" s="254" t="s">
        <v>300</v>
      </c>
      <c r="C3" s="101" t="s">
        <v>897</v>
      </c>
      <c r="D3" s="101"/>
      <c r="E3" s="101"/>
      <c r="F3" s="101"/>
    </row>
    <row r="4" spans="1:6" x14ac:dyDescent="0.3">
      <c r="A4" s="280"/>
      <c r="B4" s="254" t="s">
        <v>454</v>
      </c>
      <c r="C4" s="101" t="s">
        <v>898</v>
      </c>
      <c r="D4" s="101"/>
      <c r="E4" s="101"/>
      <c r="F4" s="101"/>
    </row>
    <row r="5" spans="1:6" x14ac:dyDescent="0.3">
      <c r="A5" s="280"/>
      <c r="B5" s="254" t="s">
        <v>455</v>
      </c>
      <c r="C5" s="101" t="s">
        <v>899</v>
      </c>
      <c r="D5" s="101"/>
      <c r="E5" s="101"/>
      <c r="F5" s="101"/>
    </row>
    <row r="6" spans="1:6" x14ac:dyDescent="0.3">
      <c r="A6" s="280"/>
      <c r="B6" s="279" t="s">
        <v>173</v>
      </c>
      <c r="C6" s="101" t="s">
        <v>10</v>
      </c>
      <c r="D6" s="101"/>
      <c r="E6" s="101"/>
      <c r="F6" s="101"/>
    </row>
    <row r="7" spans="1:6" x14ac:dyDescent="0.3">
      <c r="A7" s="280"/>
      <c r="B7" s="254" t="s">
        <v>496</v>
      </c>
      <c r="C7" s="101" t="s">
        <v>904</v>
      </c>
      <c r="D7" s="101"/>
      <c r="E7" s="101"/>
      <c r="F7" s="101"/>
    </row>
    <row r="8" spans="1:6" x14ac:dyDescent="0.3">
      <c r="A8" s="280"/>
      <c r="B8" s="254" t="s">
        <v>456</v>
      </c>
      <c r="C8" s="101" t="s">
        <v>905</v>
      </c>
      <c r="D8" s="101"/>
      <c r="E8" s="101"/>
      <c r="F8" s="101"/>
    </row>
    <row r="9" spans="1:6" ht="31.2" x14ac:dyDescent="0.3">
      <c r="A9" s="280"/>
      <c r="B9" s="254" t="s">
        <v>137</v>
      </c>
      <c r="C9" s="101" t="s">
        <v>906</v>
      </c>
      <c r="D9" s="101"/>
      <c r="E9" s="281"/>
      <c r="F9" s="281"/>
    </row>
    <row r="10" spans="1:6" x14ac:dyDescent="0.3">
      <c r="A10" s="280"/>
      <c r="B10" s="254" t="s">
        <v>445</v>
      </c>
      <c r="C10" s="101" t="s">
        <v>890</v>
      </c>
      <c r="D10" s="101"/>
      <c r="E10" s="101"/>
      <c r="F10" s="101"/>
    </row>
    <row r="11" spans="1:6" x14ac:dyDescent="0.3">
      <c r="A11" s="280"/>
      <c r="B11" s="279" t="s">
        <v>278</v>
      </c>
      <c r="C11" s="101" t="s">
        <v>143</v>
      </c>
      <c r="D11" s="101"/>
      <c r="E11" s="101"/>
      <c r="F11" s="101"/>
    </row>
    <row r="12" spans="1:6" x14ac:dyDescent="0.3">
      <c r="A12" s="280"/>
      <c r="B12" s="254" t="s">
        <v>448</v>
      </c>
      <c r="C12" s="101" t="s">
        <v>10</v>
      </c>
      <c r="D12" s="101"/>
      <c r="E12" s="101"/>
      <c r="F12" s="101"/>
    </row>
    <row r="13" spans="1:6" x14ac:dyDescent="0.3">
      <c r="A13" s="280"/>
      <c r="B13" s="254" t="s">
        <v>446</v>
      </c>
      <c r="C13" s="101" t="s">
        <v>919</v>
      </c>
      <c r="D13" s="101"/>
      <c r="E13" s="101"/>
      <c r="F13" s="101"/>
    </row>
    <row r="14" spans="1:6" x14ac:dyDescent="0.3">
      <c r="A14" s="280"/>
      <c r="B14" s="279" t="s">
        <v>314</v>
      </c>
      <c r="C14" s="101" t="s">
        <v>914</v>
      </c>
      <c r="D14" s="368"/>
      <c r="E14" s="368"/>
      <c r="F14" s="101"/>
    </row>
    <row r="15" spans="1:6" x14ac:dyDescent="0.3">
      <c r="A15" s="280"/>
      <c r="B15" s="254" t="s">
        <v>447</v>
      </c>
      <c r="C15" s="101" t="s">
        <v>922</v>
      </c>
      <c r="D15" s="101"/>
      <c r="E15" s="101"/>
      <c r="F15" s="101"/>
    </row>
    <row r="16" spans="1:6" ht="31.2" x14ac:dyDescent="0.3">
      <c r="A16" s="280"/>
      <c r="B16" s="136" t="s">
        <v>705</v>
      </c>
      <c r="C16" s="101" t="s">
        <v>892</v>
      </c>
      <c r="D16" s="368"/>
      <c r="E16" s="368"/>
      <c r="F16" s="101"/>
    </row>
    <row r="17" spans="1:7" ht="31.2" x14ac:dyDescent="0.3">
      <c r="A17" s="280"/>
      <c r="B17" s="136" t="s">
        <v>704</v>
      </c>
      <c r="C17" s="101" t="s">
        <v>8</v>
      </c>
      <c r="D17" s="101"/>
      <c r="E17" s="101"/>
      <c r="F17" s="101"/>
    </row>
    <row r="18" spans="1:7" ht="18" x14ac:dyDescent="0.35">
      <c r="A18" s="280"/>
      <c r="B18" s="288"/>
      <c r="C18" s="288"/>
      <c r="D18" s="288"/>
      <c r="E18" s="289"/>
      <c r="F18" s="286"/>
      <c r="G18" s="4"/>
    </row>
    <row r="19" spans="1:7" s="79" customFormat="1" ht="31.2" x14ac:dyDescent="0.3">
      <c r="A19" s="253" t="s">
        <v>543</v>
      </c>
      <c r="B19" s="136" t="s">
        <v>41</v>
      </c>
      <c r="C19" s="254" t="s">
        <v>860</v>
      </c>
      <c r="D19" s="254" t="s">
        <v>938</v>
      </c>
      <c r="E19" s="254" t="s">
        <v>858</v>
      </c>
      <c r="F19" s="254"/>
      <c r="G19" s="11"/>
    </row>
    <row r="20" spans="1:7" s="79" customFormat="1" ht="62.4" x14ac:dyDescent="0.3">
      <c r="A20" s="253"/>
      <c r="B20" s="136" t="s">
        <v>257</v>
      </c>
      <c r="C20" s="254" t="s">
        <v>888</v>
      </c>
      <c r="D20" s="254" t="s">
        <v>939</v>
      </c>
      <c r="E20" s="290" t="s">
        <v>928</v>
      </c>
      <c r="F20" s="290"/>
      <c r="G20" s="11"/>
    </row>
    <row r="21" spans="1:7" s="79" customFormat="1" x14ac:dyDescent="0.3">
      <c r="A21" s="253"/>
      <c r="B21" s="136" t="s">
        <v>56</v>
      </c>
      <c r="C21" s="254" t="s">
        <v>950</v>
      </c>
      <c r="D21" s="254" t="s">
        <v>951</v>
      </c>
      <c r="E21" s="254" t="s">
        <v>952</v>
      </c>
      <c r="F21" s="254"/>
      <c r="G21" s="11"/>
    </row>
    <row r="22" spans="1:7" s="79" customFormat="1" ht="31.2" x14ac:dyDescent="0.3">
      <c r="A22" s="253"/>
      <c r="B22" s="136" t="s">
        <v>258</v>
      </c>
      <c r="C22" s="254" t="s">
        <v>888</v>
      </c>
      <c r="D22" s="254" t="s">
        <v>940</v>
      </c>
      <c r="E22" s="254"/>
      <c r="F22" s="254"/>
      <c r="G22" s="11"/>
    </row>
    <row r="23" spans="1:7" s="79" customFormat="1" x14ac:dyDescent="0.3">
      <c r="A23" s="253"/>
      <c r="B23" s="136" t="s">
        <v>259</v>
      </c>
      <c r="C23" s="254" t="s">
        <v>941</v>
      </c>
      <c r="D23" s="254" t="s">
        <v>942</v>
      </c>
      <c r="E23" s="254" t="s">
        <v>943</v>
      </c>
      <c r="F23" s="254"/>
      <c r="G23" s="11"/>
    </row>
    <row r="24" spans="1:7" s="79" customFormat="1" ht="31.2" x14ac:dyDescent="0.3">
      <c r="A24" s="253"/>
      <c r="B24" s="136" t="s">
        <v>266</v>
      </c>
      <c r="C24" s="254" t="s">
        <v>885</v>
      </c>
      <c r="D24" s="254" t="s">
        <v>643</v>
      </c>
      <c r="E24" s="254" t="s">
        <v>644</v>
      </c>
      <c r="F24" s="254"/>
      <c r="G24" s="11"/>
    </row>
    <row r="25" spans="1:7" s="79" customFormat="1" x14ac:dyDescent="0.3">
      <c r="A25" s="253"/>
      <c r="B25" s="136" t="s">
        <v>453</v>
      </c>
      <c r="C25" s="254" t="s">
        <v>944</v>
      </c>
      <c r="D25" s="254" t="s">
        <v>929</v>
      </c>
      <c r="E25" s="254"/>
      <c r="F25" s="254"/>
      <c r="G25" s="11"/>
    </row>
    <row r="26" spans="1:7" s="79" customFormat="1" ht="31.2" x14ac:dyDescent="0.3">
      <c r="A26" s="253"/>
      <c r="B26" s="136" t="s">
        <v>261</v>
      </c>
      <c r="C26" s="254" t="s">
        <v>930</v>
      </c>
      <c r="D26" s="254" t="s">
        <v>945</v>
      </c>
      <c r="E26" s="254" t="s">
        <v>645</v>
      </c>
      <c r="F26" s="254"/>
      <c r="G26" s="11"/>
    </row>
    <row r="27" spans="1:7" s="79" customFormat="1" ht="31.2" x14ac:dyDescent="0.3">
      <c r="A27" s="253"/>
      <c r="B27" s="136" t="s">
        <v>132</v>
      </c>
      <c r="C27" s="254" t="s">
        <v>949</v>
      </c>
      <c r="D27" s="136" t="s">
        <v>931</v>
      </c>
      <c r="E27" s="290" t="s">
        <v>646</v>
      </c>
      <c r="F27" s="290"/>
      <c r="G27" s="11"/>
    </row>
    <row r="28" spans="1:7" s="79" customFormat="1" x14ac:dyDescent="0.3">
      <c r="A28" s="253"/>
      <c r="B28" s="136" t="s">
        <v>133</v>
      </c>
      <c r="C28" s="136" t="s">
        <v>932</v>
      </c>
      <c r="D28" s="254" t="s">
        <v>933</v>
      </c>
      <c r="E28" s="254" t="s">
        <v>946</v>
      </c>
      <c r="F28" s="254"/>
      <c r="G28" s="11"/>
    </row>
    <row r="29" spans="1:7" s="79" customFormat="1" ht="31.2" x14ac:dyDescent="0.3">
      <c r="A29" s="253"/>
      <c r="B29" s="136" t="s">
        <v>194</v>
      </c>
      <c r="C29" s="254" t="s">
        <v>934</v>
      </c>
      <c r="D29" s="254" t="s">
        <v>935</v>
      </c>
      <c r="E29" s="254" t="s">
        <v>936</v>
      </c>
      <c r="F29" s="254"/>
      <c r="G29" s="11"/>
    </row>
    <row r="30" spans="1:7" x14ac:dyDescent="0.3">
      <c r="A30" s="253"/>
      <c r="B30" s="4"/>
      <c r="C30" s="4"/>
      <c r="D30" s="4"/>
      <c r="E30" s="287"/>
      <c r="F30" s="287"/>
      <c r="G30" s="4"/>
    </row>
    <row r="31" spans="1:7" x14ac:dyDescent="0.3">
      <c r="A31" s="230"/>
    </row>
  </sheetData>
  <customSheetViews>
    <customSheetView guid="{468281ED-4ADC-4BB5-9EE5-E9016B5EB30D}" fitToPage="1" topLeftCell="C22">
      <selection activeCell="C31" sqref="C31"/>
      <pageMargins left="0.23622047244094491" right="0.23622047244094491" top="0.74803149606299213" bottom="0.74803149606299213" header="0.31496062992125984" footer="0.31496062992125984"/>
      <printOptions horizontalCentered="1" verticalCentered="1"/>
      <pageSetup paperSize="9" scale="84" orientation="landscape" horizontalDpi="4294967293" r:id="rId1"/>
      <headerFooter>
        <oddHeader>&amp;C&amp;"-,Bold"&amp;16Badenoch Gardening Club Awards Data</oddHeader>
      </headerFooter>
    </customSheetView>
  </customSheetViews>
  <printOptions horizontalCentered="1" verticalCentered="1"/>
  <pageMargins left="0.23622047244094491" right="0.23622047244094491" top="0.74803149606299213" bottom="0.74803149606299213" header="0.31496062992125984" footer="0.31496062992125984"/>
  <pageSetup paperSize="9" scale="84" orientation="landscape" horizontalDpi="4294967293" r:id="rId2"/>
  <headerFooter>
    <oddHeader>&amp;C&amp;"-,Bold"&amp;16Badenoch Gardening Club Awards Data</oddHead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36F4FA-3AD8-47F0-B3AB-8B72E0B5C7F2}">
  <sheetPr codeName="strathy"/>
  <dimension ref="A1:A103"/>
  <sheetViews>
    <sheetView topLeftCell="A92" zoomScale="115" zoomScaleNormal="115" workbookViewId="0">
      <selection activeCell="A96" sqref="A96"/>
    </sheetView>
  </sheetViews>
  <sheetFormatPr defaultRowHeight="14.4" x14ac:dyDescent="0.3"/>
  <cols>
    <col min="1" max="1" width="120.88671875" customWidth="1"/>
  </cols>
  <sheetData>
    <row r="1" spans="1:1" x14ac:dyDescent="0.3">
      <c r="A1" t="s">
        <v>241</v>
      </c>
    </row>
    <row r="2" spans="1:1" x14ac:dyDescent="0.3">
      <c r="A2" t="s">
        <v>556</v>
      </c>
    </row>
    <row r="3" spans="1:1" x14ac:dyDescent="0.3">
      <c r="A3" t="s">
        <v>557</v>
      </c>
    </row>
    <row r="4" spans="1:1" x14ac:dyDescent="0.3">
      <c r="A4" t="s">
        <v>558</v>
      </c>
    </row>
    <row r="5" spans="1:1" x14ac:dyDescent="0.3">
      <c r="A5" t="s">
        <v>559</v>
      </c>
    </row>
    <row r="6" spans="1:1" x14ac:dyDescent="0.3">
      <c r="A6" t="s">
        <v>560</v>
      </c>
    </row>
    <row r="7" spans="1:1" x14ac:dyDescent="0.3">
      <c r="A7" t="s">
        <v>561</v>
      </c>
    </row>
    <row r="8" spans="1:1" x14ac:dyDescent="0.3">
      <c r="A8" t="s">
        <v>562</v>
      </c>
    </row>
    <row r="9" spans="1:1" x14ac:dyDescent="0.3">
      <c r="A9" t="s">
        <v>563</v>
      </c>
    </row>
    <row r="10" spans="1:1" x14ac:dyDescent="0.3">
      <c r="A10" t="s">
        <v>564</v>
      </c>
    </row>
    <row r="11" spans="1:1" x14ac:dyDescent="0.3">
      <c r="A11" t="s">
        <v>565</v>
      </c>
    </row>
    <row r="12" spans="1:1" x14ac:dyDescent="0.3">
      <c r="A12" t="s">
        <v>552</v>
      </c>
    </row>
    <row r="13" spans="1:1" x14ac:dyDescent="0.3">
      <c r="A13" t="s">
        <v>566</v>
      </c>
    </row>
    <row r="14" spans="1:1" x14ac:dyDescent="0.3">
      <c r="A14" t="s">
        <v>553</v>
      </c>
    </row>
    <row r="15" spans="1:1" x14ac:dyDescent="0.3">
      <c r="A15" t="s">
        <v>554</v>
      </c>
    </row>
    <row r="16" spans="1:1" x14ac:dyDescent="0.3">
      <c r="A16" t="s">
        <v>567</v>
      </c>
    </row>
    <row r="17" spans="1:1" x14ac:dyDescent="0.3">
      <c r="A17" t="s">
        <v>555</v>
      </c>
    </row>
    <row r="18" spans="1:1" x14ac:dyDescent="0.3">
      <c r="A18" t="s">
        <v>568</v>
      </c>
    </row>
    <row r="19" spans="1:1" x14ac:dyDescent="0.3">
      <c r="A19" t="s">
        <v>569</v>
      </c>
    </row>
    <row r="20" spans="1:1" x14ac:dyDescent="0.3">
      <c r="A20" t="s">
        <v>570</v>
      </c>
    </row>
    <row r="21" spans="1:1" x14ac:dyDescent="0.3">
      <c r="A21" t="s">
        <v>571</v>
      </c>
    </row>
    <row r="22" spans="1:1" x14ac:dyDescent="0.3">
      <c r="A22" t="s">
        <v>572</v>
      </c>
    </row>
    <row r="23" spans="1:1" x14ac:dyDescent="0.3">
      <c r="A23" t="s">
        <v>242</v>
      </c>
    </row>
    <row r="24" spans="1:1" x14ac:dyDescent="0.3">
      <c r="A24" t="s">
        <v>573</v>
      </c>
    </row>
    <row r="25" spans="1:1" x14ac:dyDescent="0.3">
      <c r="A25" t="s">
        <v>574</v>
      </c>
    </row>
    <row r="26" spans="1:1" x14ac:dyDescent="0.3">
      <c r="A26" t="s">
        <v>575</v>
      </c>
    </row>
    <row r="27" spans="1:1" x14ac:dyDescent="0.3">
      <c r="A27" t="s">
        <v>576</v>
      </c>
    </row>
    <row r="28" spans="1:1" x14ac:dyDescent="0.3">
      <c r="A28" t="s">
        <v>577</v>
      </c>
    </row>
    <row r="29" spans="1:1" x14ac:dyDescent="0.3">
      <c r="A29" s="66" t="s">
        <v>635</v>
      </c>
    </row>
    <row r="30" spans="1:1" x14ac:dyDescent="0.3">
      <c r="A30" t="s">
        <v>636</v>
      </c>
    </row>
    <row r="31" spans="1:1" x14ac:dyDescent="0.3">
      <c r="A31" s="66" t="s">
        <v>637</v>
      </c>
    </row>
    <row r="32" spans="1:1" x14ac:dyDescent="0.3">
      <c r="A32" t="s">
        <v>578</v>
      </c>
    </row>
    <row r="33" spans="1:1" x14ac:dyDescent="0.3">
      <c r="A33" t="s">
        <v>579</v>
      </c>
    </row>
    <row r="34" spans="1:1" x14ac:dyDescent="0.3">
      <c r="A34" t="s">
        <v>580</v>
      </c>
    </row>
    <row r="35" spans="1:1" x14ac:dyDescent="0.3">
      <c r="A35" t="s">
        <v>581</v>
      </c>
    </row>
    <row r="36" spans="1:1" x14ac:dyDescent="0.3">
      <c r="A36" t="s">
        <v>582</v>
      </c>
    </row>
    <row r="37" spans="1:1" x14ac:dyDescent="0.3">
      <c r="A37" t="s">
        <v>243</v>
      </c>
    </row>
    <row r="38" spans="1:1" x14ac:dyDescent="0.3">
      <c r="A38" t="s">
        <v>583</v>
      </c>
    </row>
    <row r="39" spans="1:1" x14ac:dyDescent="0.3">
      <c r="A39" t="s">
        <v>584</v>
      </c>
    </row>
    <row r="40" spans="1:1" x14ac:dyDescent="0.3">
      <c r="A40" t="s">
        <v>585</v>
      </c>
    </row>
    <row r="41" spans="1:1" x14ac:dyDescent="0.3">
      <c r="A41" t="s">
        <v>244</v>
      </c>
    </row>
    <row r="42" spans="1:1" x14ac:dyDescent="0.3">
      <c r="A42" t="s">
        <v>586</v>
      </c>
    </row>
    <row r="43" spans="1:1" x14ac:dyDescent="0.3">
      <c r="A43" t="s">
        <v>587</v>
      </c>
    </row>
    <row r="44" spans="1:1" x14ac:dyDescent="0.3">
      <c r="A44" t="s">
        <v>588</v>
      </c>
    </row>
    <row r="45" spans="1:1" x14ac:dyDescent="0.3">
      <c r="A45" t="s">
        <v>589</v>
      </c>
    </row>
    <row r="46" spans="1:1" x14ac:dyDescent="0.3">
      <c r="A46" t="s">
        <v>547</v>
      </c>
    </row>
    <row r="47" spans="1:1" x14ac:dyDescent="0.3">
      <c r="A47" t="s">
        <v>590</v>
      </c>
    </row>
    <row r="48" spans="1:1" x14ac:dyDescent="0.3">
      <c r="A48" t="s">
        <v>247</v>
      </c>
    </row>
    <row r="49" spans="1:1" x14ac:dyDescent="0.3">
      <c r="A49" t="s">
        <v>591</v>
      </c>
    </row>
    <row r="50" spans="1:1" x14ac:dyDescent="0.3">
      <c r="A50" t="s">
        <v>592</v>
      </c>
    </row>
    <row r="51" spans="1:1" x14ac:dyDescent="0.3">
      <c r="A51" t="s">
        <v>593</v>
      </c>
    </row>
    <row r="52" spans="1:1" x14ac:dyDescent="0.3">
      <c r="A52" t="s">
        <v>248</v>
      </c>
    </row>
    <row r="53" spans="1:1" x14ac:dyDescent="0.3">
      <c r="A53" t="s">
        <v>594</v>
      </c>
    </row>
    <row r="54" spans="1:1" x14ac:dyDescent="0.3">
      <c r="A54" t="s">
        <v>249</v>
      </c>
    </row>
    <row r="55" spans="1:1" x14ac:dyDescent="0.3">
      <c r="A55" t="s">
        <v>595</v>
      </c>
    </row>
    <row r="56" spans="1:1" x14ac:dyDescent="0.3">
      <c r="A56" t="s">
        <v>596</v>
      </c>
    </row>
    <row r="57" spans="1:1" x14ac:dyDescent="0.3">
      <c r="A57" t="s">
        <v>250</v>
      </c>
    </row>
    <row r="58" spans="1:1" x14ac:dyDescent="0.3">
      <c r="A58" t="s">
        <v>597</v>
      </c>
    </row>
    <row r="59" spans="1:1" x14ac:dyDescent="0.3">
      <c r="A59" t="s">
        <v>598</v>
      </c>
    </row>
    <row r="60" spans="1:1" x14ac:dyDescent="0.3">
      <c r="A60" t="s">
        <v>599</v>
      </c>
    </row>
    <row r="61" spans="1:1" x14ac:dyDescent="0.3">
      <c r="A61" t="s">
        <v>600</v>
      </c>
    </row>
    <row r="62" spans="1:1" x14ac:dyDescent="0.3">
      <c r="A62" t="s">
        <v>601</v>
      </c>
    </row>
    <row r="63" spans="1:1" x14ac:dyDescent="0.3">
      <c r="A63" t="s">
        <v>602</v>
      </c>
    </row>
    <row r="64" spans="1:1" x14ac:dyDescent="0.3">
      <c r="A64" t="s">
        <v>603</v>
      </c>
    </row>
    <row r="65" spans="1:1" x14ac:dyDescent="0.3">
      <c r="A65" t="s">
        <v>604</v>
      </c>
    </row>
    <row r="66" spans="1:1" x14ac:dyDescent="0.3">
      <c r="A66" t="s">
        <v>605</v>
      </c>
    </row>
    <row r="67" spans="1:1" x14ac:dyDescent="0.3">
      <c r="A67" t="s">
        <v>606</v>
      </c>
    </row>
    <row r="68" spans="1:1" x14ac:dyDescent="0.3">
      <c r="A68" t="s">
        <v>607</v>
      </c>
    </row>
    <row r="69" spans="1:1" x14ac:dyDescent="0.3">
      <c r="A69" t="s">
        <v>251</v>
      </c>
    </row>
    <row r="70" spans="1:1" x14ac:dyDescent="0.3">
      <c r="A70" t="s">
        <v>608</v>
      </c>
    </row>
    <row r="71" spans="1:1" x14ac:dyDescent="0.3">
      <c r="A71" t="s">
        <v>609</v>
      </c>
    </row>
    <row r="72" spans="1:1" x14ac:dyDescent="0.3">
      <c r="A72" t="s">
        <v>610</v>
      </c>
    </row>
    <row r="73" spans="1:1" x14ac:dyDescent="0.3">
      <c r="A73" t="s">
        <v>611</v>
      </c>
    </row>
    <row r="74" spans="1:1" x14ac:dyDescent="0.3">
      <c r="A74" t="s">
        <v>612</v>
      </c>
    </row>
    <row r="75" spans="1:1" x14ac:dyDescent="0.3">
      <c r="A75" t="s">
        <v>613</v>
      </c>
    </row>
    <row r="76" spans="1:1" x14ac:dyDescent="0.3">
      <c r="A76" t="s">
        <v>614</v>
      </c>
    </row>
    <row r="77" spans="1:1" x14ac:dyDescent="0.3">
      <c r="A77" t="s">
        <v>615</v>
      </c>
    </row>
    <row r="78" spans="1:1" x14ac:dyDescent="0.3">
      <c r="A78" t="s">
        <v>616</v>
      </c>
    </row>
    <row r="79" spans="1:1" x14ac:dyDescent="0.3">
      <c r="A79" t="s">
        <v>617</v>
      </c>
    </row>
    <row r="80" spans="1:1" x14ac:dyDescent="0.3">
      <c r="A80" t="s">
        <v>618</v>
      </c>
    </row>
    <row r="81" spans="1:1" x14ac:dyDescent="0.3">
      <c r="A81" t="s">
        <v>619</v>
      </c>
    </row>
    <row r="82" spans="1:1" x14ac:dyDescent="0.3">
      <c r="A82" t="s">
        <v>620</v>
      </c>
    </row>
    <row r="83" spans="1:1" x14ac:dyDescent="0.3">
      <c r="A83" t="s">
        <v>621</v>
      </c>
    </row>
    <row r="84" spans="1:1" x14ac:dyDescent="0.3">
      <c r="A84" t="s">
        <v>252</v>
      </c>
    </row>
    <row r="85" spans="1:1" x14ac:dyDescent="0.3">
      <c r="A85" t="s">
        <v>622</v>
      </c>
    </row>
    <row r="86" spans="1:1" x14ac:dyDescent="0.3">
      <c r="A86" t="s">
        <v>623</v>
      </c>
    </row>
    <row r="87" spans="1:1" x14ac:dyDescent="0.3">
      <c r="A87" t="s">
        <v>631</v>
      </c>
    </row>
    <row r="88" spans="1:1" x14ac:dyDescent="0.3">
      <c r="A88" t="s">
        <v>548</v>
      </c>
    </row>
    <row r="89" spans="1:1" x14ac:dyDescent="0.3">
      <c r="A89" t="s">
        <v>549</v>
      </c>
    </row>
    <row r="90" spans="1:1" x14ac:dyDescent="0.3">
      <c r="A90" t="s">
        <v>253</v>
      </c>
    </row>
    <row r="91" spans="1:1" x14ac:dyDescent="0.3">
      <c r="A91" t="s">
        <v>624</v>
      </c>
    </row>
    <row r="92" spans="1:1" x14ac:dyDescent="0.3">
      <c r="A92" t="s">
        <v>625</v>
      </c>
    </row>
    <row r="93" spans="1:1" ht="28.8" x14ac:dyDescent="0.3">
      <c r="A93" s="66" t="s">
        <v>640</v>
      </c>
    </row>
    <row r="94" spans="1:1" ht="28.8" x14ac:dyDescent="0.3">
      <c r="A94" s="66" t="s">
        <v>641</v>
      </c>
    </row>
    <row r="95" spans="1:1" x14ac:dyDescent="0.3">
      <c r="A95" t="s">
        <v>550</v>
      </c>
    </row>
    <row r="96" spans="1:1" ht="28.8" x14ac:dyDescent="0.3">
      <c r="A96" s="66" t="s">
        <v>795</v>
      </c>
    </row>
    <row r="97" spans="1:1" x14ac:dyDescent="0.3">
      <c r="A97" t="s">
        <v>254</v>
      </c>
    </row>
    <row r="98" spans="1:1" x14ac:dyDescent="0.3">
      <c r="A98" t="s">
        <v>626</v>
      </c>
    </row>
    <row r="99" spans="1:1" x14ac:dyDescent="0.3">
      <c r="A99" t="s">
        <v>551</v>
      </c>
    </row>
    <row r="100" spans="1:1" x14ac:dyDescent="0.3">
      <c r="A100" t="s">
        <v>255</v>
      </c>
    </row>
    <row r="101" spans="1:1" x14ac:dyDescent="0.3">
      <c r="A101" t="s">
        <v>627</v>
      </c>
    </row>
    <row r="102" spans="1:1" x14ac:dyDescent="0.3">
      <c r="A102" t="s">
        <v>628</v>
      </c>
    </row>
    <row r="103" spans="1:1" x14ac:dyDescent="0.3">
      <c r="A103" t="s">
        <v>629</v>
      </c>
    </row>
  </sheetData>
  <customSheetViews>
    <customSheetView guid="{468281ED-4ADC-4BB5-9EE5-E9016B5EB30D}" scale="115">
      <selection activeCell="A94" sqref="A94"/>
      <pageMargins left="0.7" right="0.7" top="0.75" bottom="0.75" header="0.3" footer="0.3"/>
      <pageSetup orientation="portrait" r:id="rId1"/>
    </customSheetView>
  </customSheetViews>
  <pageMargins left="0.7" right="0.7" top="0.75" bottom="0.75" header="0.3" footer="0.3"/>
  <pageSetup orientation="portrait" r:id="rId2"/>
  <drawing r:id="rId3"/>
  <legacyDrawing r:id="rId4"/>
  <controls>
    <mc:AlternateContent xmlns:mc="http://schemas.openxmlformats.org/markup-compatibility/2006">
      <mc:Choice Requires="x14">
        <control shapeId="72708" r:id="rId5" name="CommandButton2">
          <controlPr defaultSize="0" autoLine="0" r:id="rId6">
            <anchor moveWithCells="1">
              <from>
                <xdr:col>2</xdr:col>
                <xdr:colOff>68580</xdr:colOff>
                <xdr:row>4</xdr:row>
                <xdr:rowOff>114300</xdr:rowOff>
              </from>
              <to>
                <xdr:col>4</xdr:col>
                <xdr:colOff>22860</xdr:colOff>
                <xdr:row>6</xdr:row>
                <xdr:rowOff>167640</xdr:rowOff>
              </to>
            </anchor>
          </controlPr>
        </control>
      </mc:Choice>
      <mc:Fallback>
        <control shapeId="72708" r:id="rId5" name="CommandButton2"/>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awards">
    <pageSetUpPr fitToPage="1"/>
  </sheetPr>
  <dimension ref="A1:M34"/>
  <sheetViews>
    <sheetView topLeftCell="F2" zoomScale="87" zoomScaleNormal="68" workbookViewId="0">
      <selection activeCell="K13" sqref="K13"/>
    </sheetView>
  </sheetViews>
  <sheetFormatPr defaultColWidth="9.109375" defaultRowHeight="15.6" x14ac:dyDescent="0.3"/>
  <cols>
    <col min="1" max="1" width="45.109375" style="172" customWidth="1"/>
    <col min="2" max="2" width="18.44140625" style="1" customWidth="1"/>
    <col min="3" max="3" width="17.5546875" style="1" customWidth="1"/>
    <col min="4" max="4" width="21.5546875" style="1" customWidth="1"/>
    <col min="5" max="5" width="29.88671875" style="1" customWidth="1"/>
    <col min="6" max="6" width="64.88671875" style="1" customWidth="1"/>
    <col min="7" max="7" width="42.5546875" style="80" customWidth="1"/>
    <col min="8" max="8" width="11" style="1" customWidth="1"/>
    <col min="9" max="9" width="9.109375" style="1"/>
    <col min="10" max="10" width="38.44140625" style="1" bestFit="1" customWidth="1"/>
    <col min="11" max="11" width="50.88671875" style="1" customWidth="1"/>
    <col min="12" max="12" width="39.109375" style="1" customWidth="1"/>
    <col min="13" max="13" width="39.44140625" style="1" bestFit="1" customWidth="1"/>
    <col min="14" max="16384" width="9.109375" style="1"/>
  </cols>
  <sheetData>
    <row r="1" spans="1:13" s="78" customFormat="1" ht="74.25" customHeight="1" thickBot="1" x14ac:dyDescent="0.35">
      <c r="A1" s="503" t="s">
        <v>665</v>
      </c>
      <c r="B1" s="504"/>
      <c r="C1" s="504"/>
      <c r="D1" s="505"/>
      <c r="F1" s="509" t="s">
        <v>666</v>
      </c>
      <c r="G1" s="510"/>
      <c r="H1" s="145"/>
      <c r="J1" s="491" t="s">
        <v>665</v>
      </c>
      <c r="K1" s="492"/>
      <c r="L1" s="492"/>
      <c r="M1" s="493"/>
    </row>
    <row r="2" spans="1:13" s="79" customFormat="1" ht="25.5" customHeight="1" thickBot="1" x14ac:dyDescent="0.35">
      <c r="A2" s="506" t="s">
        <v>315</v>
      </c>
      <c r="B2" s="507"/>
      <c r="C2" s="507"/>
      <c r="D2" s="508"/>
      <c r="F2" s="491" t="s">
        <v>269</v>
      </c>
      <c r="G2" s="511"/>
      <c r="H2" s="146"/>
      <c r="J2" s="494" t="s">
        <v>647</v>
      </c>
      <c r="K2" s="495"/>
      <c r="L2" s="495"/>
      <c r="M2" s="496"/>
    </row>
    <row r="3" spans="1:13" s="79" customFormat="1" ht="60" customHeight="1" thickTop="1" thickBot="1" x14ac:dyDescent="0.35">
      <c r="A3" s="284" t="s">
        <v>797</v>
      </c>
      <c r="B3" s="500" t="str">
        <f>Bests!C16</f>
        <v>Rory McGill &amp; Fiona McGill for Potato Person</v>
      </c>
      <c r="C3" s="501"/>
      <c r="D3" s="502"/>
      <c r="F3" s="436" t="s">
        <v>270</v>
      </c>
      <c r="G3" s="437" t="str">
        <f>Bests!C2</f>
        <v>Valerie Macpherson for Globe Artichokes</v>
      </c>
      <c r="H3" s="147"/>
      <c r="J3" s="339" t="s">
        <v>299</v>
      </c>
      <c r="K3" s="340" t="str">
        <f>Bests!C2</f>
        <v>Valerie Macpherson for Globe Artichokes</v>
      </c>
      <c r="L3" s="341"/>
      <c r="M3" s="342"/>
    </row>
    <row r="4" spans="1:13" s="79" customFormat="1" ht="60" customHeight="1" thickTop="1" thickBot="1" x14ac:dyDescent="0.35">
      <c r="A4" s="284" t="s">
        <v>798</v>
      </c>
      <c r="B4" s="500" t="str">
        <f>Bests!C17</f>
        <v>Beth Alder</v>
      </c>
      <c r="C4" s="501"/>
      <c r="D4" s="502"/>
      <c r="F4" s="438" t="s">
        <v>307</v>
      </c>
      <c r="G4" s="439" t="str">
        <f>Bests!C19</f>
        <v>1st: Beth Alder (28 points)</v>
      </c>
      <c r="H4" s="146"/>
      <c r="J4" s="343" t="s">
        <v>300</v>
      </c>
      <c r="K4" s="340" t="str">
        <f>Bests!C3</f>
        <v>Lynda Dodd for Perennials</v>
      </c>
      <c r="L4" s="344"/>
      <c r="M4" s="345"/>
    </row>
    <row r="5" spans="1:13" s="79" customFormat="1" ht="64.650000000000006" customHeight="1" thickTop="1" thickBot="1" x14ac:dyDescent="0.35">
      <c r="A5" s="283" t="s">
        <v>316</v>
      </c>
      <c r="B5" s="447"/>
      <c r="C5" s="447"/>
      <c r="D5" s="448"/>
      <c r="F5" s="438" t="s">
        <v>271</v>
      </c>
      <c r="G5" s="439" t="str">
        <f>Bests!C20</f>
        <v>1st: Anne Connelly (5 points)</v>
      </c>
      <c r="H5" s="146"/>
      <c r="J5" s="343" t="s">
        <v>648</v>
      </c>
      <c r="K5" s="340" t="str">
        <f>Bests!C6</f>
        <v>Sheila Friend</v>
      </c>
      <c r="L5" s="344"/>
      <c r="M5" s="345"/>
    </row>
    <row r="6" spans="1:13" s="79" customFormat="1" ht="60" customHeight="1" thickTop="1" thickBot="1" x14ac:dyDescent="0.35">
      <c r="A6" s="460" t="s">
        <v>228</v>
      </c>
      <c r="B6" s="447" t="str">
        <f>IF(Classes!C108="","",Classes!C108)</f>
        <v/>
      </c>
      <c r="C6" s="447" t="str">
        <f>IF(Classes!D108="","",Classes!D108)</f>
        <v/>
      </c>
      <c r="D6" s="447" t="str">
        <f>IF(Classes!E108="","",Classes!E108)</f>
        <v/>
      </c>
      <c r="F6" s="438" t="s">
        <v>272</v>
      </c>
      <c r="G6" s="439" t="str">
        <f>Bests!C3</f>
        <v>Lynda Dodd for Perennials</v>
      </c>
      <c r="H6" s="146"/>
      <c r="J6" s="343" t="s">
        <v>659</v>
      </c>
      <c r="K6" s="340" t="str">
        <f>Bests!C7</f>
        <v>Lynne Munro for Mimulus</v>
      </c>
      <c r="L6" s="344"/>
      <c r="M6" s="345"/>
    </row>
    <row r="7" spans="1:13" s="79" customFormat="1" ht="60" customHeight="1" thickTop="1" thickBot="1" x14ac:dyDescent="0.35">
      <c r="A7" s="460" t="s">
        <v>227</v>
      </c>
      <c r="B7" s="447" t="str">
        <f>IF(Classes!C109="","",Classes!C109)</f>
        <v xml:space="preserve"> 1st: Abernethy P2P3</v>
      </c>
      <c r="C7" s="447" t="str">
        <f>IF(Classes!D109="","",Classes!D109)</f>
        <v xml:space="preserve"> 2nd: Abernethy P1</v>
      </c>
      <c r="D7" s="447" t="str">
        <f>IF(Classes!E109="","",Classes!E109)</f>
        <v xml:space="preserve"> 3rd: Robert Hayne</v>
      </c>
      <c r="F7" s="438" t="s">
        <v>273</v>
      </c>
      <c r="G7" s="439" t="str">
        <f>Bests!C21</f>
        <v>1st: Beth Alder (14 points)</v>
      </c>
      <c r="H7" s="146"/>
      <c r="J7" s="343" t="s">
        <v>649</v>
      </c>
      <c r="K7" s="340" t="str">
        <f>Bests!C10</f>
        <v>Adeline Balharry for "You've been framed"</v>
      </c>
      <c r="L7" s="344"/>
      <c r="M7" s="345"/>
    </row>
    <row r="8" spans="1:13" s="79" customFormat="1" ht="60" customHeight="1" thickTop="1" thickBot="1" x14ac:dyDescent="0.35">
      <c r="A8" s="460" t="s">
        <v>449</v>
      </c>
      <c r="B8" s="447" t="str">
        <f>IF(Classes!C110="","",Classes!C110)</f>
        <v xml:space="preserve"> 1st: Rory McGill &amp; Fiona McGill</v>
      </c>
      <c r="C8" s="447" t="str">
        <f>IF(Classes!D110="","",Classes!D110)</f>
        <v/>
      </c>
      <c r="D8" s="447" t="str">
        <f>IF(Classes!E110="","",Classes!E110)</f>
        <v/>
      </c>
      <c r="F8" s="438" t="s">
        <v>274</v>
      </c>
      <c r="G8" s="439" t="str">
        <f>Bests!C5</f>
        <v>Sue Thomas for mixed varieties</v>
      </c>
      <c r="H8" s="146"/>
      <c r="J8" s="343" t="s">
        <v>278</v>
      </c>
      <c r="K8" s="340" t="str">
        <f>Bests!C11</f>
        <v>Sue Thomas</v>
      </c>
      <c r="L8" s="344"/>
      <c r="M8" s="345"/>
    </row>
    <row r="9" spans="1:13" s="79" customFormat="1" ht="60" customHeight="1" thickTop="1" thickBot="1" x14ac:dyDescent="0.35">
      <c r="A9" s="460" t="s">
        <v>450</v>
      </c>
      <c r="B9" s="447" t="str">
        <f>IF(Classes!C111="","",Classes!C111)</f>
        <v/>
      </c>
      <c r="C9" s="447" t="str">
        <f>IF(Classes!D111="","",Classes!D111)</f>
        <v/>
      </c>
      <c r="D9" s="447" t="str">
        <f>IF(Classes!E111="","",Classes!E111)</f>
        <v/>
      </c>
      <c r="F9" s="438" t="s">
        <v>275</v>
      </c>
      <c r="G9" s="439" t="str">
        <f>Bests!C4</f>
        <v>Valerie Macpherson for Cluster-flowered rose</v>
      </c>
      <c r="H9" s="146"/>
      <c r="J9" s="343" t="s">
        <v>650</v>
      </c>
      <c r="K9" s="340" t="str">
        <f>Bests!C12</f>
        <v>Sheila Friend</v>
      </c>
      <c r="L9" s="344"/>
      <c r="M9" s="345"/>
    </row>
    <row r="10" spans="1:13" s="11" customFormat="1" ht="60" customHeight="1" thickTop="1" thickBot="1" x14ac:dyDescent="0.35">
      <c r="A10" s="460" t="s">
        <v>700</v>
      </c>
      <c r="B10" s="447" t="str">
        <f>IF(Classes!C112="","",Classes!C112)</f>
        <v xml:space="preserve"> 1st: Rory McGill</v>
      </c>
      <c r="C10" s="447" t="str">
        <f>IF(Classes!D112="","",Classes!D112)</f>
        <v xml:space="preserve"> 2nd: Megan Eccles</v>
      </c>
      <c r="D10" s="447" t="str">
        <f>IF(Classes!E112="","",Classes!E112)</f>
        <v xml:space="preserve"> 3rd: Elizabeth Lyon</v>
      </c>
      <c r="F10" s="440" t="s">
        <v>308</v>
      </c>
      <c r="G10" s="441" t="str">
        <f>Bests!C6</f>
        <v>Sheila Friend</v>
      </c>
      <c r="H10" s="170"/>
      <c r="J10" s="346" t="s">
        <v>651</v>
      </c>
      <c r="K10" s="340" t="str">
        <f>Bests!C13</f>
        <v>Adeline Balharry for Chocolate ginger fudge</v>
      </c>
      <c r="L10" s="347"/>
      <c r="M10" s="348"/>
    </row>
    <row r="11" spans="1:13" s="79" customFormat="1" ht="60" customHeight="1" thickTop="1" thickBot="1" x14ac:dyDescent="0.35">
      <c r="A11" s="460" t="s">
        <v>437</v>
      </c>
      <c r="B11" s="447" t="str">
        <f>IF(Classes!C113="","",Classes!C113)</f>
        <v xml:space="preserve"> 1st: Cara Cameron</v>
      </c>
      <c r="C11" s="447" t="str">
        <f>IF(Classes!D113="","",Classes!D113)</f>
        <v xml:space="preserve"> 2nd: Rory McGill &amp; Fiona McGill</v>
      </c>
      <c r="D11" s="447" t="str">
        <f>IF(Classes!E113="","",Classes!E113)</f>
        <v/>
      </c>
      <c r="F11" s="283" t="s">
        <v>309</v>
      </c>
      <c r="G11" s="439" t="str">
        <f>Bests!C8</f>
        <v>Lynne Munro for Hoya</v>
      </c>
      <c r="H11" s="146"/>
      <c r="J11" s="346" t="s">
        <v>314</v>
      </c>
      <c r="K11" s="340" t="str">
        <f>Bests!C14</f>
        <v>Lynne Munro for Wiltshire lardy cake</v>
      </c>
      <c r="L11" s="344"/>
      <c r="M11" s="345"/>
    </row>
    <row r="12" spans="1:13" s="79" customFormat="1" ht="55.5" customHeight="1" thickTop="1" x14ac:dyDescent="0.3">
      <c r="A12" s="460" t="s">
        <v>701</v>
      </c>
      <c r="B12" s="447" t="str">
        <f>IF(Classes!C114="","",Classes!C114)</f>
        <v xml:space="preserve"> 1st: StBrides MessyChurch</v>
      </c>
      <c r="C12" s="447" t="str">
        <f>IF(Classes!D114="","",Classes!D114)</f>
        <v/>
      </c>
      <c r="D12" s="447" t="str">
        <f>IF(Classes!E114="","",Classes!E114)</f>
        <v/>
      </c>
      <c r="F12" s="283" t="s">
        <v>310</v>
      </c>
      <c r="G12" s="439" t="str">
        <f>Bests!C9</f>
        <v>Laura Pierce for Oxalis</v>
      </c>
      <c r="H12" s="146"/>
      <c r="J12" s="346" t="s">
        <v>652</v>
      </c>
      <c r="K12" s="340" t="str">
        <f>Bests!C15</f>
        <v>Elizabeth McGill for Liqueur</v>
      </c>
      <c r="L12" s="344"/>
      <c r="M12" s="345"/>
    </row>
    <row r="13" spans="1:13" s="79" customFormat="1" ht="39.9" customHeight="1" x14ac:dyDescent="0.3">
      <c r="A13" s="460" t="s">
        <v>792</v>
      </c>
      <c r="B13" s="447" t="str">
        <f>IF(Classes!C115="","",Classes!C115)</f>
        <v/>
      </c>
      <c r="C13" s="447" t="str">
        <f>IF(Classes!D115="","",Classes!D115)</f>
        <v/>
      </c>
      <c r="D13" s="447" t="str">
        <f>IF(Classes!E115="","",Classes!E115)</f>
        <v/>
      </c>
      <c r="F13" s="283" t="s">
        <v>311</v>
      </c>
      <c r="G13" s="439" t="str">
        <f>Bests!C7</f>
        <v>Lynne Munro for Mimulus</v>
      </c>
      <c r="H13" s="146"/>
      <c r="J13" s="349" t="s">
        <v>653</v>
      </c>
      <c r="K13" s="333" t="str">
        <f>Bests!C19</f>
        <v>1st: Beth Alder (28 points)</v>
      </c>
      <c r="L13" s="333" t="str">
        <f>Bests!D19</f>
        <v>2nd: Sue Thomas (17 points)</v>
      </c>
      <c r="M13" s="333" t="str">
        <f>Bests!E19</f>
        <v>3rd: Lynne Munro (14 points)</v>
      </c>
    </row>
    <row r="14" spans="1:13" s="79" customFormat="1" ht="39.9" customHeight="1" x14ac:dyDescent="0.3">
      <c r="A14" s="460" t="s">
        <v>793</v>
      </c>
      <c r="B14" s="447" t="str">
        <f>IF(Classes!C116="","",Classes!C116)</f>
        <v/>
      </c>
      <c r="C14" s="447" t="str">
        <f>IF(Classes!D116="","",Classes!D116)</f>
        <v/>
      </c>
      <c r="D14" s="447" t="str">
        <f>IF(Classes!E116="","",Classes!E116)</f>
        <v/>
      </c>
      <c r="F14" s="283" t="s">
        <v>276</v>
      </c>
      <c r="G14" s="439" t="str">
        <f>Bests!C10</f>
        <v>Adeline Balharry for "You've been framed"</v>
      </c>
      <c r="H14" s="146"/>
      <c r="J14" s="349" t="s">
        <v>654</v>
      </c>
      <c r="K14" s="333" t="str">
        <f>Bests!C21</f>
        <v>1st: Beth Alder (14 points)</v>
      </c>
      <c r="L14" s="333" t="str">
        <f>Bests!D21</f>
        <v>2nd: Lynda Dodd (10 points)</v>
      </c>
      <c r="M14" s="333" t="str">
        <f>Bests!E21</f>
        <v>3rd: Denyse Kozub (8 points)</v>
      </c>
    </row>
    <row r="15" spans="1:13" s="79" customFormat="1" ht="51" customHeight="1" x14ac:dyDescent="0.3">
      <c r="A15" s="460" t="s">
        <v>794</v>
      </c>
      <c r="B15" s="447" t="str">
        <f>IF(Classes!C117="","",Classes!C117)</f>
        <v/>
      </c>
      <c r="C15" s="447" t="str">
        <f>IF(Classes!D117="","",Classes!D117)</f>
        <v/>
      </c>
      <c r="D15" s="447" t="str">
        <f>IF(Classes!E117="","",Classes!E117)</f>
        <v/>
      </c>
      <c r="F15" s="283" t="s">
        <v>312</v>
      </c>
      <c r="G15" s="439" t="str">
        <f>Bests!C11</f>
        <v>Sue Thomas</v>
      </c>
      <c r="H15" s="148"/>
      <c r="J15" s="349" t="s">
        <v>655</v>
      </c>
      <c r="K15" s="333" t="str">
        <f>Bests!C27</f>
        <v>1st: Lynne Munro (16 points)</v>
      </c>
      <c r="L15" s="333" t="str">
        <f>Bests!D27</f>
        <v>2nd: Laura Pierce &amp; Adeline Balharry (8 points)</v>
      </c>
      <c r="M15" s="333" t="str">
        <f>Bests!E27</f>
        <v>3rd: Adeline Balharry &amp; Catherine Downie (7 points)</v>
      </c>
    </row>
    <row r="16" spans="1:13" s="79" customFormat="1" ht="45" customHeight="1" x14ac:dyDescent="0.3">
      <c r="A16" s="171"/>
      <c r="F16" s="283" t="s">
        <v>245</v>
      </c>
      <c r="G16" s="439" t="str">
        <f>Bests!C12</f>
        <v>Sheila Friend</v>
      </c>
      <c r="H16" s="148"/>
      <c r="J16" s="349" t="s">
        <v>656</v>
      </c>
      <c r="K16" s="333" t="str">
        <f>Bests!C28</f>
        <v>1st: Lynda Dodd (23 points)</v>
      </c>
      <c r="L16" s="333" t="str">
        <f>Bests!D28</f>
        <v>2nd: Lynne Munro (20 points)</v>
      </c>
      <c r="M16" s="333"/>
    </row>
    <row r="17" spans="1:13" s="79" customFormat="1" ht="39.9" customHeight="1" x14ac:dyDescent="0.3">
      <c r="A17" s="171"/>
      <c r="F17" s="442" t="s">
        <v>246</v>
      </c>
      <c r="G17" s="439" t="str">
        <f>Bests!C27</f>
        <v>1st: Lynne Munro (16 points)</v>
      </c>
      <c r="H17" s="148"/>
      <c r="J17" s="349" t="s">
        <v>657</v>
      </c>
      <c r="K17" s="333" t="str">
        <f>Bests!C29</f>
        <v>1st: Lynne Munro (9 points)</v>
      </c>
      <c r="L17" s="333" t="str">
        <f>Bests!D29</f>
        <v>2nd: Catherine Downie (7 points)</v>
      </c>
      <c r="M17" s="333" t="str">
        <f>Bests!E29</f>
        <v>3rd: Elizabeth McGill (3 points)</v>
      </c>
    </row>
    <row r="18" spans="1:13" s="79" customFormat="1" ht="39.9" customHeight="1" thickBot="1" x14ac:dyDescent="0.35">
      <c r="A18" s="171"/>
      <c r="F18" s="443" t="s">
        <v>790</v>
      </c>
      <c r="G18" s="444" t="str">
        <f>Bests!C28</f>
        <v>1st: Lynda Dodd (23 points)</v>
      </c>
      <c r="H18" s="148"/>
      <c r="J18" s="497" t="s">
        <v>658</v>
      </c>
      <c r="K18" s="498"/>
      <c r="L18" s="498"/>
      <c r="M18" s="499"/>
    </row>
    <row r="19" spans="1:13" s="79" customFormat="1" ht="50.4" customHeight="1" thickBot="1" x14ac:dyDescent="0.35">
      <c r="A19" s="171"/>
      <c r="F19" s="445" t="s">
        <v>893</v>
      </c>
      <c r="G19" s="446" t="str">
        <f>Bests!C16</f>
        <v>Rory McGill &amp; Fiona McGill for Potato Person</v>
      </c>
      <c r="H19" s="231"/>
    </row>
    <row r="20" spans="1:13" ht="39.9" customHeight="1" x14ac:dyDescent="0.3">
      <c r="A20" s="171"/>
      <c r="B20" s="79"/>
      <c r="C20" s="79"/>
      <c r="D20" s="79"/>
      <c r="F20" s="81"/>
    </row>
    <row r="21" spans="1:13" ht="39.9" customHeight="1" x14ac:dyDescent="0.3">
      <c r="D21" s="1">
        <v>10000</v>
      </c>
      <c r="F21" s="81"/>
    </row>
    <row r="22" spans="1:13" ht="39.9" customHeight="1" x14ac:dyDescent="0.3">
      <c r="F22" s="81"/>
    </row>
    <row r="23" spans="1:13" ht="39.9" customHeight="1" x14ac:dyDescent="0.3">
      <c r="F23" s="81"/>
    </row>
    <row r="24" spans="1:13" ht="39.9" customHeight="1" x14ac:dyDescent="0.3">
      <c r="F24" s="81"/>
    </row>
    <row r="25" spans="1:13" ht="39.9" customHeight="1" x14ac:dyDescent="0.3">
      <c r="F25" s="81"/>
    </row>
    <row r="26" spans="1:13" ht="39.9" customHeight="1" x14ac:dyDescent="0.3">
      <c r="F26" s="81"/>
    </row>
    <row r="27" spans="1:13" ht="39.9" customHeight="1" x14ac:dyDescent="0.3">
      <c r="F27" s="81"/>
    </row>
    <row r="28" spans="1:13" ht="39.9" customHeight="1" x14ac:dyDescent="0.3">
      <c r="F28" s="81"/>
    </row>
    <row r="29" spans="1:13" ht="39.9" customHeight="1" x14ac:dyDescent="0.3">
      <c r="F29" s="81"/>
    </row>
    <row r="30" spans="1:13" ht="39.9" customHeight="1" x14ac:dyDescent="0.3">
      <c r="F30" s="81"/>
    </row>
    <row r="31" spans="1:13" ht="39.9" customHeight="1" x14ac:dyDescent="0.3">
      <c r="F31" s="82"/>
    </row>
    <row r="32" spans="1:13" ht="39.9" customHeight="1" x14ac:dyDescent="0.3">
      <c r="F32" s="82"/>
    </row>
    <row r="33" spans="6:6" ht="39.9" customHeight="1" x14ac:dyDescent="0.3">
      <c r="F33" s="81"/>
    </row>
    <row r="34" spans="6:6" x14ac:dyDescent="0.3">
      <c r="F34" s="83"/>
    </row>
  </sheetData>
  <customSheetViews>
    <customSheetView guid="{468281ED-4ADC-4BB5-9EE5-E9016B5EB30D}" scale="87" fitToPage="1">
      <selection activeCell="E1" sqref="E1"/>
      <pageMargins left="0.7" right="0.7" top="0.75" bottom="0.75" header="0.3" footer="0.3"/>
      <printOptions horizontalCentered="1"/>
      <pageSetup paperSize="9" scale="77" orientation="portrait" blackAndWhite="1" horizontalDpi="4294967293" r:id="rId1"/>
    </customSheetView>
  </customSheetViews>
  <mergeCells count="9">
    <mergeCell ref="J1:M1"/>
    <mergeCell ref="J2:M2"/>
    <mergeCell ref="J18:M18"/>
    <mergeCell ref="B3:D3"/>
    <mergeCell ref="A1:D1"/>
    <mergeCell ref="A2:D2"/>
    <mergeCell ref="F1:G1"/>
    <mergeCell ref="F2:G2"/>
    <mergeCell ref="B4:D4"/>
  </mergeCells>
  <printOptions horizontalCentered="1"/>
  <pageMargins left="0.7" right="0.7" top="0.75" bottom="0.75" header="0.3" footer="0.3"/>
  <pageSetup paperSize="9" scale="63" orientation="portrait" blackAndWhite="1" horizontalDpi="4294967293" r:id="rId2"/>
  <drawing r:id="rId3"/>
  <legacyDrawing r:id="rId4"/>
  <controls>
    <mc:AlternateContent xmlns:mc="http://schemas.openxmlformats.org/markup-compatibility/2006">
      <mc:Choice Requires="x14">
        <control shapeId="51207" r:id="rId5" name="CommandButton5">
          <controlPr defaultSize="0" autoLine="0" r:id="rId6">
            <anchor moveWithCells="1">
              <from>
                <xdr:col>4</xdr:col>
                <xdr:colOff>160020</xdr:colOff>
                <xdr:row>1</xdr:row>
                <xdr:rowOff>259080</xdr:rowOff>
              </from>
              <to>
                <xdr:col>4</xdr:col>
                <xdr:colOff>1927860</xdr:colOff>
                <xdr:row>3</xdr:row>
                <xdr:rowOff>7620</xdr:rowOff>
              </to>
            </anchor>
          </controlPr>
        </control>
      </mc:Choice>
      <mc:Fallback>
        <control shapeId="51207" r:id="rId5" name="CommandButton5"/>
      </mc:Fallback>
    </mc:AlternateContent>
    <mc:AlternateContent xmlns:mc="http://schemas.openxmlformats.org/markup-compatibility/2006">
      <mc:Choice Requires="x14">
        <control shapeId="51208" r:id="rId7" name="CommandButton6">
          <controlPr defaultSize="0" autoLine="0" r:id="rId8">
            <anchor moveWithCells="1">
              <from>
                <xdr:col>4</xdr:col>
                <xdr:colOff>236220</xdr:colOff>
                <xdr:row>3</xdr:row>
                <xdr:rowOff>457200</xdr:rowOff>
              </from>
              <to>
                <xdr:col>4</xdr:col>
                <xdr:colOff>1981200</xdr:colOff>
                <xdr:row>4</xdr:row>
                <xdr:rowOff>571500</xdr:rowOff>
              </to>
            </anchor>
          </controlPr>
        </control>
      </mc:Choice>
      <mc:Fallback>
        <control shapeId="51208" r:id="rId7" name="CommandButton6"/>
      </mc:Fallback>
    </mc:AlternateContent>
    <mc:AlternateContent xmlns:mc="http://schemas.openxmlformats.org/markup-compatibility/2006">
      <mc:Choice Requires="x14">
        <control shapeId="51209" r:id="rId9" name="CommandButton7">
          <controlPr defaultSize="0" autoLine="0" r:id="rId10">
            <anchor moveWithCells="1">
              <from>
                <xdr:col>4</xdr:col>
                <xdr:colOff>312420</xdr:colOff>
                <xdr:row>4</xdr:row>
                <xdr:rowOff>716280</xdr:rowOff>
              </from>
              <to>
                <xdr:col>4</xdr:col>
                <xdr:colOff>2026920</xdr:colOff>
                <xdr:row>5</xdr:row>
                <xdr:rowOff>693420</xdr:rowOff>
              </to>
            </anchor>
          </controlPr>
        </control>
      </mc:Choice>
      <mc:Fallback>
        <control shapeId="51209" r:id="rId9" name="CommandButton7"/>
      </mc:Fallback>
    </mc:AlternateContent>
  </control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pud_sheet"/>
  <dimension ref="A1:N37"/>
  <sheetViews>
    <sheetView zoomScale="70" zoomScaleNormal="70" workbookViewId="0">
      <pane ySplit="2" topLeftCell="A19" activePane="bottomLeft" state="frozen"/>
      <selection pane="bottomLeft" activeCell="O26" sqref="O26"/>
    </sheetView>
  </sheetViews>
  <sheetFormatPr defaultColWidth="9.109375" defaultRowHeight="15.6" x14ac:dyDescent="0.3"/>
  <cols>
    <col min="1" max="1" width="6.5546875" style="17" customWidth="1"/>
    <col min="2" max="2" width="11.88671875" style="1" customWidth="1"/>
    <col min="3" max="3" width="26.5546875" style="1" customWidth="1"/>
    <col min="4" max="4" width="13.88671875" style="9" customWidth="1"/>
    <col min="5" max="5" width="4.88671875" style="62" hidden="1" customWidth="1"/>
    <col min="6" max="6" width="4.5546875" style="44" hidden="1" customWidth="1"/>
    <col min="7" max="7" width="9" style="44" hidden="1" customWidth="1"/>
    <col min="8" max="8" width="4.33203125" style="1" customWidth="1"/>
    <col min="9" max="9" width="6" style="1" customWidth="1"/>
    <col min="10" max="10" width="23.6640625" style="1" customWidth="1"/>
    <col min="11" max="11" width="4.44140625" style="1" customWidth="1"/>
    <col min="12" max="16384" width="9.109375" style="1"/>
  </cols>
  <sheetData>
    <row r="1" spans="1:14" s="10" customFormat="1" ht="42" customHeight="1" x14ac:dyDescent="0.4">
      <c r="A1" s="295"/>
      <c r="B1" s="259" t="s">
        <v>440</v>
      </c>
      <c r="C1" s="63"/>
      <c r="D1" s="473" t="s">
        <v>667</v>
      </c>
      <c r="E1" s="63"/>
      <c r="F1" s="63"/>
      <c r="G1" s="63"/>
      <c r="H1" s="260"/>
      <c r="I1" s="295"/>
      <c r="J1" s="295"/>
      <c r="K1" s="295"/>
    </row>
    <row r="2" spans="1:14" s="4" customFormat="1" ht="30.75" customHeight="1" x14ac:dyDescent="0.3">
      <c r="A2" s="22"/>
      <c r="B2" s="258" t="s">
        <v>439</v>
      </c>
      <c r="C2" s="18" t="s">
        <v>187</v>
      </c>
      <c r="D2" s="179" t="s">
        <v>188</v>
      </c>
      <c r="E2" s="512" t="s">
        <v>306</v>
      </c>
      <c r="F2" s="513"/>
      <c r="G2" s="513"/>
      <c r="H2" s="22"/>
      <c r="I2" s="22"/>
      <c r="J2" s="22"/>
      <c r="K2" s="22"/>
    </row>
    <row r="3" spans="1:14" ht="21.9" customHeight="1" x14ac:dyDescent="0.3">
      <c r="B3" s="64" t="s">
        <v>123</v>
      </c>
      <c r="C3" s="142"/>
      <c r="D3" s="261"/>
      <c r="E3" s="262"/>
      <c r="F3" s="75"/>
      <c r="G3" s="141"/>
      <c r="H3" s="22"/>
      <c r="I3" s="17"/>
      <c r="J3" s="174" t="s">
        <v>957</v>
      </c>
      <c r="K3" s="22"/>
    </row>
    <row r="4" spans="1:14" ht="21.9" customHeight="1" x14ac:dyDescent="0.35">
      <c r="B4" s="65" t="s">
        <v>123</v>
      </c>
      <c r="C4" s="143"/>
      <c r="D4" s="144"/>
      <c r="E4" s="263"/>
      <c r="F4" s="75"/>
      <c r="G4" s="137"/>
      <c r="H4" s="17"/>
      <c r="I4" s="474" t="s">
        <v>953</v>
      </c>
      <c r="J4" s="101"/>
      <c r="K4" s="17"/>
    </row>
    <row r="5" spans="1:14" ht="21.9" customHeight="1" x14ac:dyDescent="0.35">
      <c r="B5" s="64" t="s">
        <v>123</v>
      </c>
      <c r="C5" s="143"/>
      <c r="D5" s="144"/>
      <c r="E5" s="263"/>
      <c r="F5" s="75"/>
      <c r="G5" s="137"/>
      <c r="H5" s="17"/>
      <c r="I5" s="474" t="s">
        <v>954</v>
      </c>
      <c r="J5" s="101"/>
      <c r="K5" s="17"/>
      <c r="M5"/>
      <c r="N5"/>
    </row>
    <row r="6" spans="1:14" ht="21.9" customHeight="1" x14ac:dyDescent="0.35">
      <c r="B6" s="65" t="s">
        <v>123</v>
      </c>
      <c r="C6" s="143"/>
      <c r="D6" s="144"/>
      <c r="E6" s="263"/>
      <c r="F6" s="75"/>
      <c r="G6" s="137"/>
      <c r="H6" s="17"/>
      <c r="I6" s="474" t="s">
        <v>955</v>
      </c>
      <c r="J6" s="101"/>
      <c r="K6" s="17"/>
      <c r="M6" s="60"/>
      <c r="N6" s="60"/>
    </row>
    <row r="7" spans="1:14" ht="21.9" customHeight="1" x14ac:dyDescent="0.3">
      <c r="B7" s="64" t="s">
        <v>123</v>
      </c>
      <c r="C7" s="143"/>
      <c r="D7" s="144"/>
      <c r="E7" s="263"/>
      <c r="F7" s="75"/>
      <c r="G7" s="137"/>
      <c r="H7" s="17"/>
      <c r="I7" s="17"/>
      <c r="J7" s="17"/>
      <c r="K7" s="17"/>
    </row>
    <row r="8" spans="1:14" ht="21.9" customHeight="1" x14ac:dyDescent="0.3">
      <c r="B8" s="65" t="s">
        <v>123</v>
      </c>
      <c r="C8" s="143"/>
      <c r="D8" s="144"/>
      <c r="E8" s="263"/>
      <c r="F8" s="75"/>
      <c r="G8" s="137"/>
      <c r="H8" s="17"/>
      <c r="I8" s="17"/>
      <c r="J8" s="17"/>
      <c r="K8" s="17"/>
    </row>
    <row r="9" spans="1:14" ht="21.9" customHeight="1" x14ac:dyDescent="0.3">
      <c r="B9" s="64" t="s">
        <v>123</v>
      </c>
      <c r="C9" s="143"/>
      <c r="D9" s="144"/>
      <c r="E9" s="263"/>
      <c r="F9" s="75"/>
      <c r="G9" s="137"/>
      <c r="H9" s="17"/>
      <c r="I9" s="17"/>
      <c r="J9" s="17"/>
      <c r="K9" s="17"/>
    </row>
    <row r="10" spans="1:14" ht="21.9" customHeight="1" x14ac:dyDescent="0.3">
      <c r="B10" s="65"/>
      <c r="C10" s="143"/>
      <c r="D10" s="144"/>
      <c r="E10" s="263"/>
      <c r="F10" s="75"/>
      <c r="G10" s="137"/>
      <c r="H10" s="17"/>
      <c r="I10" s="17"/>
      <c r="J10" s="17"/>
      <c r="K10" s="17"/>
    </row>
    <row r="11" spans="1:14" ht="21.9" customHeight="1" x14ac:dyDescent="0.3">
      <c r="B11" s="65" t="s">
        <v>125</v>
      </c>
      <c r="C11" s="143"/>
      <c r="D11" s="144"/>
      <c r="E11" s="263"/>
      <c r="F11" s="75"/>
      <c r="G11" s="137"/>
      <c r="H11" s="17"/>
      <c r="I11" s="17"/>
      <c r="J11" s="174" t="s">
        <v>956</v>
      </c>
      <c r="K11" s="17"/>
    </row>
    <row r="12" spans="1:14" ht="21.9" customHeight="1" x14ac:dyDescent="0.35">
      <c r="B12" s="65" t="s">
        <v>125</v>
      </c>
      <c r="C12" s="143"/>
      <c r="D12" s="144"/>
      <c r="E12" s="263"/>
      <c r="F12" s="75"/>
      <c r="G12" s="137"/>
      <c r="H12" s="17"/>
      <c r="I12" s="474" t="s">
        <v>953</v>
      </c>
      <c r="J12" s="101"/>
      <c r="K12" s="17"/>
    </row>
    <row r="13" spans="1:14" ht="21.9" customHeight="1" x14ac:dyDescent="0.35">
      <c r="B13" s="65" t="s">
        <v>125</v>
      </c>
      <c r="C13" s="143"/>
      <c r="D13" s="144"/>
      <c r="E13" s="263"/>
      <c r="F13" s="75"/>
      <c r="G13" s="137"/>
      <c r="H13" s="17"/>
      <c r="I13" s="474" t="s">
        <v>954</v>
      </c>
      <c r="J13" s="101"/>
      <c r="K13" s="17"/>
    </row>
    <row r="14" spans="1:14" ht="21.9" customHeight="1" x14ac:dyDescent="0.35">
      <c r="B14" s="65" t="s">
        <v>125</v>
      </c>
      <c r="C14" s="143"/>
      <c r="D14" s="144"/>
      <c r="E14" s="263"/>
      <c r="F14" s="75"/>
      <c r="G14" s="137"/>
      <c r="H14" s="17"/>
      <c r="I14" s="474" t="s">
        <v>955</v>
      </c>
      <c r="J14" s="101"/>
      <c r="K14" s="17"/>
    </row>
    <row r="15" spans="1:14" ht="21.9" customHeight="1" x14ac:dyDescent="0.3">
      <c r="B15" s="65" t="s">
        <v>125</v>
      </c>
      <c r="C15" s="143"/>
      <c r="D15" s="144"/>
      <c r="E15" s="263"/>
      <c r="F15" s="75"/>
      <c r="G15" s="137"/>
      <c r="H15" s="17"/>
      <c r="I15" s="17"/>
      <c r="J15" s="17"/>
      <c r="K15" s="17"/>
    </row>
    <row r="16" spans="1:14" ht="21.9" customHeight="1" x14ac:dyDescent="0.3">
      <c r="B16" s="65" t="s">
        <v>125</v>
      </c>
      <c r="C16" s="143"/>
      <c r="D16" s="144"/>
      <c r="E16" s="263"/>
      <c r="F16" s="75"/>
      <c r="G16" s="137"/>
      <c r="H16" s="17"/>
      <c r="I16" s="17"/>
      <c r="J16" s="17"/>
      <c r="K16" s="17"/>
    </row>
    <row r="17" spans="2:11" ht="21.9" customHeight="1" x14ac:dyDescent="0.3">
      <c r="B17" s="65" t="s">
        <v>125</v>
      </c>
      <c r="C17" s="143"/>
      <c r="D17" s="144"/>
      <c r="E17" s="263"/>
      <c r="F17" s="75"/>
      <c r="G17" s="137"/>
      <c r="H17" s="17"/>
      <c r="I17" s="17"/>
      <c r="J17" s="17"/>
      <c r="K17" s="17"/>
    </row>
    <row r="18" spans="2:11" ht="21.9" customHeight="1" x14ac:dyDescent="0.3">
      <c r="B18" s="65" t="s">
        <v>125</v>
      </c>
      <c r="C18" s="143"/>
      <c r="D18" s="144"/>
      <c r="E18" s="263"/>
      <c r="F18" s="75"/>
      <c r="G18" s="137"/>
      <c r="H18" s="17"/>
      <c r="I18" s="17"/>
      <c r="J18" s="17"/>
      <c r="K18" s="17"/>
    </row>
    <row r="19" spans="2:11" ht="21.9" customHeight="1" x14ac:dyDescent="0.3">
      <c r="B19" s="65" t="s">
        <v>125</v>
      </c>
      <c r="C19" s="143"/>
      <c r="D19" s="144"/>
      <c r="E19" s="263"/>
      <c r="F19" s="75"/>
      <c r="G19" s="137"/>
      <c r="H19" s="17"/>
      <c r="I19" s="17"/>
      <c r="J19" s="17"/>
      <c r="K19" s="17"/>
    </row>
    <row r="20" spans="2:11" ht="21.9" customHeight="1" x14ac:dyDescent="0.3">
      <c r="B20" s="65" t="s">
        <v>125</v>
      </c>
      <c r="C20" s="143"/>
      <c r="D20" s="144"/>
      <c r="E20" s="263"/>
      <c r="F20" s="75"/>
      <c r="G20" s="137"/>
      <c r="H20" s="17"/>
      <c r="I20" s="17"/>
      <c r="J20" s="17"/>
      <c r="K20" s="17"/>
    </row>
    <row r="21" spans="2:11" ht="21.9" customHeight="1" x14ac:dyDescent="0.3">
      <c r="B21" s="65" t="s">
        <v>125</v>
      </c>
      <c r="C21" s="143"/>
      <c r="D21" s="144"/>
      <c r="E21" s="263"/>
      <c r="F21" s="75"/>
      <c r="G21" s="137"/>
      <c r="H21" s="17"/>
      <c r="I21" s="17"/>
      <c r="J21" s="17"/>
      <c r="K21" s="17"/>
    </row>
    <row r="22" spans="2:11" ht="21.9" customHeight="1" x14ac:dyDescent="0.3">
      <c r="B22" s="65" t="s">
        <v>125</v>
      </c>
      <c r="C22" s="143"/>
      <c r="D22" s="144"/>
      <c r="E22" s="263"/>
      <c r="F22" s="75"/>
      <c r="G22" s="137"/>
      <c r="H22" s="17"/>
      <c r="I22" s="17"/>
      <c r="J22" s="17"/>
      <c r="K22" s="17"/>
    </row>
    <row r="23" spans="2:11" ht="21.9" customHeight="1" x14ac:dyDescent="0.3">
      <c r="B23" s="65" t="s">
        <v>125</v>
      </c>
      <c r="C23" s="143"/>
      <c r="D23" s="144"/>
      <c r="E23" s="263"/>
      <c r="F23" s="75" t="str">
        <f t="shared" ref="F23:F31" si="0">IF(ISNUMBER(D23),ROUNDDOWN(D23*2.20462/1000,0),"  ")</f>
        <v xml:space="preserve">  </v>
      </c>
      <c r="G23" s="137" t="str">
        <f t="shared" ref="G23:G31" si="1">IF(ISNUMBER(D23),ROUND(((D23*2.20462/1000)-F23)*16,0),"  ")</f>
        <v xml:space="preserve">  </v>
      </c>
      <c r="H23" s="17"/>
      <c r="I23" s="17"/>
      <c r="J23" s="17"/>
      <c r="K23" s="17"/>
    </row>
    <row r="24" spans="2:11" ht="21.9" customHeight="1" x14ac:dyDescent="0.3">
      <c r="B24" s="65" t="s">
        <v>125</v>
      </c>
      <c r="C24" s="143"/>
      <c r="D24" s="144"/>
      <c r="E24" s="263"/>
      <c r="F24" s="75" t="str">
        <f t="shared" si="0"/>
        <v xml:space="preserve">  </v>
      </c>
      <c r="G24" s="137" t="str">
        <f t="shared" si="1"/>
        <v xml:space="preserve">  </v>
      </c>
      <c r="H24" s="17"/>
      <c r="I24" s="17"/>
      <c r="J24" s="17"/>
      <c r="K24" s="17"/>
    </row>
    <row r="25" spans="2:11" ht="21.9" customHeight="1" x14ac:dyDescent="0.3">
      <c r="B25" s="65" t="s">
        <v>125</v>
      </c>
      <c r="C25" s="143"/>
      <c r="D25" s="144"/>
      <c r="E25" s="263"/>
      <c r="F25" s="75" t="str">
        <f t="shared" si="0"/>
        <v xml:space="preserve">  </v>
      </c>
      <c r="G25" s="137" t="str">
        <f t="shared" si="1"/>
        <v xml:space="preserve">  </v>
      </c>
      <c r="H25" s="17"/>
      <c r="I25" s="17"/>
      <c r="J25" s="17"/>
      <c r="K25" s="17"/>
    </row>
    <row r="26" spans="2:11" ht="21.9" customHeight="1" x14ac:dyDescent="0.3">
      <c r="B26" s="65" t="s">
        <v>125</v>
      </c>
      <c r="C26" s="143"/>
      <c r="D26" s="144"/>
      <c r="E26" s="263"/>
      <c r="F26" s="75" t="str">
        <f t="shared" si="0"/>
        <v xml:space="preserve">  </v>
      </c>
      <c r="G26" s="137" t="str">
        <f t="shared" si="1"/>
        <v xml:space="preserve">  </v>
      </c>
      <c r="H26" s="17"/>
      <c r="I26" s="17"/>
      <c r="J26" s="17"/>
      <c r="K26" s="17"/>
    </row>
    <row r="27" spans="2:11" ht="21.9" customHeight="1" x14ac:dyDescent="0.3">
      <c r="B27" s="65" t="s">
        <v>125</v>
      </c>
      <c r="C27" s="143"/>
      <c r="D27" s="144"/>
      <c r="E27" s="263"/>
      <c r="F27" s="75"/>
      <c r="G27" s="137"/>
      <c r="H27" s="17"/>
      <c r="I27" s="17"/>
      <c r="J27" s="17"/>
      <c r="K27" s="17"/>
    </row>
    <row r="28" spans="2:11" ht="21.9" customHeight="1" x14ac:dyDescent="0.3">
      <c r="B28" s="65" t="s">
        <v>125</v>
      </c>
      <c r="C28" s="143"/>
      <c r="D28" s="144"/>
      <c r="E28" s="263"/>
      <c r="F28" s="75"/>
      <c r="G28" s="137"/>
      <c r="H28" s="17"/>
      <c r="I28" s="17"/>
      <c r="J28" s="17"/>
      <c r="K28" s="17"/>
    </row>
    <row r="29" spans="2:11" ht="21.9" customHeight="1" x14ac:dyDescent="0.3">
      <c r="B29" s="65" t="s">
        <v>125</v>
      </c>
      <c r="C29" s="143"/>
      <c r="D29" s="144"/>
      <c r="E29" s="263"/>
      <c r="F29" s="75"/>
      <c r="G29" s="137"/>
      <c r="H29" s="17"/>
      <c r="I29" s="17"/>
      <c r="J29" s="17"/>
      <c r="K29" s="17"/>
    </row>
    <row r="30" spans="2:11" ht="21.9" customHeight="1" x14ac:dyDescent="0.3">
      <c r="B30" s="65" t="s">
        <v>125</v>
      </c>
      <c r="C30" s="143"/>
      <c r="D30" s="144"/>
      <c r="E30" s="263"/>
      <c r="F30" s="75"/>
      <c r="G30" s="137"/>
      <c r="H30" s="17"/>
      <c r="I30" s="17"/>
      <c r="J30" s="17"/>
      <c r="K30" s="17"/>
    </row>
    <row r="31" spans="2:11" ht="18" x14ac:dyDescent="0.3">
      <c r="B31" s="65" t="s">
        <v>125</v>
      </c>
      <c r="C31" s="143"/>
      <c r="D31" s="144"/>
      <c r="E31" s="264"/>
      <c r="F31" s="75" t="str">
        <f t="shared" si="0"/>
        <v xml:space="preserve">  </v>
      </c>
      <c r="G31" s="137" t="str">
        <f t="shared" si="1"/>
        <v xml:space="preserve">  </v>
      </c>
      <c r="H31" s="17"/>
      <c r="I31" s="17"/>
      <c r="J31" s="17"/>
      <c r="K31" s="17"/>
    </row>
    <row r="32" spans="2:11" ht="21.9" customHeight="1" x14ac:dyDescent="0.3">
      <c r="B32" s="17"/>
      <c r="C32" s="17"/>
      <c r="D32" s="56"/>
      <c r="E32" s="61"/>
      <c r="F32" s="21"/>
      <c r="G32" s="21"/>
      <c r="H32" s="17"/>
      <c r="I32" s="17"/>
      <c r="J32" s="17"/>
      <c r="K32" s="17"/>
    </row>
    <row r="33" spans="2:11" x14ac:dyDescent="0.3">
      <c r="B33" s="17"/>
      <c r="C33" s="17"/>
      <c r="D33" s="56"/>
      <c r="E33" s="61"/>
      <c r="F33" s="21"/>
      <c r="G33" s="21"/>
      <c r="H33" s="17"/>
      <c r="I33" s="17"/>
      <c r="J33" s="17"/>
      <c r="K33" s="17"/>
    </row>
    <row r="34" spans="2:11" x14ac:dyDescent="0.3">
      <c r="B34" s="17"/>
      <c r="C34" s="17"/>
      <c r="D34" s="56"/>
      <c r="E34" s="61"/>
      <c r="F34" s="21"/>
      <c r="G34" s="21"/>
      <c r="H34" s="17"/>
      <c r="I34" s="17"/>
      <c r="J34" s="17"/>
      <c r="K34" s="17"/>
    </row>
    <row r="35" spans="2:11" x14ac:dyDescent="0.3">
      <c r="B35" s="17"/>
      <c r="C35" s="17"/>
      <c r="D35" s="56"/>
      <c r="E35" s="61"/>
      <c r="F35" s="21"/>
      <c r="G35" s="21"/>
      <c r="H35" s="17"/>
      <c r="I35" s="17"/>
      <c r="J35" s="17"/>
      <c r="K35" s="17"/>
    </row>
    <row r="36" spans="2:11" x14ac:dyDescent="0.3">
      <c r="B36" s="17"/>
      <c r="C36" s="17"/>
      <c r="D36" s="56"/>
      <c r="E36" s="61"/>
      <c r="F36" s="21"/>
      <c r="G36" s="21"/>
      <c r="H36" s="17"/>
      <c r="I36" s="17"/>
      <c r="J36" s="17"/>
      <c r="K36" s="17"/>
    </row>
    <row r="37" spans="2:11" x14ac:dyDescent="0.3">
      <c r="B37" s="17"/>
      <c r="C37" s="17"/>
      <c r="D37" s="56"/>
      <c r="E37" s="61"/>
      <c r="F37" s="21"/>
      <c r="G37" s="21"/>
      <c r="H37" s="17"/>
      <c r="I37" s="17"/>
      <c r="J37" s="17"/>
      <c r="K37" s="17"/>
    </row>
  </sheetData>
  <sortState xmlns:xlrd2="http://schemas.microsoft.com/office/spreadsheetml/2017/richdata2" ref="B10:D24">
    <sortCondition descending="1" ref="D10:D24"/>
  </sortState>
  <customSheetViews>
    <customSheetView guid="{468281ED-4ADC-4BB5-9EE5-E9016B5EB30D}" scale="70">
      <pane ySplit="2" topLeftCell="A8" activePane="bottomLeft" state="frozen"/>
      <selection pane="bottomLeft" activeCell="D10" sqref="D10"/>
      <pageMargins left="0.23622047244094491" right="0.23622047244094491" top="0.74803149606299213" bottom="0.35433070866141736" header="0" footer="0"/>
      <printOptions horizontalCentered="1"/>
      <pageSetup paperSize="9" fitToHeight="0" orientation="portrait" horizontalDpi="4294967293" r:id="rId1"/>
      <headerFooter>
        <oddHeader xml:space="preserve">&amp;C&amp;"-,Bold"&amp;14
&amp;R&amp;"-,Bold"&amp;14 </oddHeader>
      </headerFooter>
    </customSheetView>
  </customSheetViews>
  <mergeCells count="1">
    <mergeCell ref="E2:G2"/>
  </mergeCells>
  <printOptions horizontalCentered="1"/>
  <pageMargins left="0.25" right="0.25" top="0.75" bottom="0.75" header="0.3" footer="0.3"/>
  <pageSetup paperSize="9" orientation="portrait" horizontalDpi="4294967293" r:id="rId2"/>
  <headerFooter>
    <oddHeader xml:space="preserve">&amp;C&amp;"-,Bold"&amp;14
&amp;R&amp;"-,Bold"&amp;14 </oddHeader>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ections"/>
  <dimension ref="A1:AA19"/>
  <sheetViews>
    <sheetView tabSelected="1" topLeftCell="B1" zoomScale="115" zoomScaleNormal="115" workbookViewId="0">
      <selection activeCell="F14" sqref="F14"/>
    </sheetView>
  </sheetViews>
  <sheetFormatPr defaultRowHeight="15.6" x14ac:dyDescent="0.3"/>
  <cols>
    <col min="1" max="1" width="53.88671875" style="1" customWidth="1"/>
    <col min="2" max="2" width="14.109375" style="9" customWidth="1"/>
    <col min="3" max="3" width="14.5546875" style="44" customWidth="1"/>
    <col min="4" max="15" width="8.5546875" style="113" customWidth="1"/>
  </cols>
  <sheetData>
    <row r="1" spans="1:27" s="66" customFormat="1" ht="62.1" customHeight="1" x14ac:dyDescent="0.4">
      <c r="A1" s="151" t="s">
        <v>313</v>
      </c>
      <c r="B1" s="150"/>
      <c r="C1" s="150"/>
      <c r="D1" s="514" t="s">
        <v>284</v>
      </c>
      <c r="E1" s="515"/>
      <c r="F1" s="517"/>
      <c r="G1" s="514" t="s">
        <v>281</v>
      </c>
      <c r="H1" s="515"/>
      <c r="I1" s="516"/>
      <c r="J1" s="514" t="s">
        <v>282</v>
      </c>
      <c r="K1" s="515"/>
      <c r="L1" s="517"/>
      <c r="M1" s="514" t="s">
        <v>283</v>
      </c>
      <c r="N1" s="515"/>
      <c r="O1" s="517"/>
      <c r="R1" s="518" t="s">
        <v>442</v>
      </c>
      <c r="S1" s="518"/>
      <c r="T1" s="518"/>
      <c r="Y1" s="265" t="s">
        <v>279</v>
      </c>
      <c r="Z1" s="155" t="s">
        <v>298</v>
      </c>
      <c r="AA1" s="155" t="s">
        <v>280</v>
      </c>
    </row>
    <row r="2" spans="1:27" s="112" customFormat="1" ht="38.25" customHeight="1" x14ac:dyDescent="0.35">
      <c r="A2" s="265" t="s">
        <v>279</v>
      </c>
      <c r="B2" s="155" t="s">
        <v>298</v>
      </c>
      <c r="C2" s="155" t="s">
        <v>280</v>
      </c>
      <c r="D2" s="115" t="s">
        <v>302</v>
      </c>
      <c r="E2" s="114" t="s">
        <v>303</v>
      </c>
      <c r="F2" s="116" t="s">
        <v>304</v>
      </c>
      <c r="G2" s="115" t="s">
        <v>302</v>
      </c>
      <c r="H2" s="114" t="s">
        <v>303</v>
      </c>
      <c r="I2" s="116" t="s">
        <v>304</v>
      </c>
      <c r="J2" s="115" t="s">
        <v>302</v>
      </c>
      <c r="K2" s="114" t="s">
        <v>303</v>
      </c>
      <c r="L2" s="116" t="s">
        <v>304</v>
      </c>
      <c r="M2" s="115" t="s">
        <v>302</v>
      </c>
      <c r="N2" s="114" t="s">
        <v>303</v>
      </c>
      <c r="O2" s="116" t="s">
        <v>304</v>
      </c>
      <c r="R2" s="266" t="s">
        <v>320</v>
      </c>
      <c r="S2" s="267" t="s">
        <v>318</v>
      </c>
      <c r="T2" s="268" t="s">
        <v>319</v>
      </c>
      <c r="Y2" s="152" t="s">
        <v>41</v>
      </c>
      <c r="Z2" s="117">
        <v>1</v>
      </c>
      <c r="AA2" s="119" t="s">
        <v>285</v>
      </c>
    </row>
    <row r="3" spans="1:27" ht="30" customHeight="1" x14ac:dyDescent="0.3">
      <c r="A3" s="152" t="s">
        <v>41</v>
      </c>
      <c r="B3" s="117">
        <v>1</v>
      </c>
      <c r="C3" s="119" t="s">
        <v>285</v>
      </c>
      <c r="D3" s="123">
        <v>26</v>
      </c>
      <c r="E3" s="71">
        <v>26</v>
      </c>
      <c r="F3" s="124">
        <v>4</v>
      </c>
      <c r="G3" s="123">
        <v>3</v>
      </c>
      <c r="H3" s="71">
        <v>24</v>
      </c>
      <c r="I3" s="131">
        <v>6</v>
      </c>
      <c r="J3" s="123">
        <v>-1</v>
      </c>
      <c r="K3" s="71"/>
      <c r="L3" s="124"/>
      <c r="M3" s="123"/>
      <c r="N3" s="71"/>
      <c r="O3" s="124"/>
      <c r="R3" s="269" t="s">
        <v>321</v>
      </c>
      <c r="S3" s="270">
        <v>1</v>
      </c>
      <c r="T3" s="271">
        <v>3</v>
      </c>
      <c r="Y3" s="152" t="s">
        <v>297</v>
      </c>
      <c r="Z3" s="117">
        <v>2</v>
      </c>
      <c r="AA3" s="119" t="s">
        <v>285</v>
      </c>
    </row>
    <row r="4" spans="1:27" ht="30" customHeight="1" x14ac:dyDescent="0.3">
      <c r="A4" s="152" t="s">
        <v>297</v>
      </c>
      <c r="B4" s="117">
        <v>2</v>
      </c>
      <c r="C4" s="119" t="s">
        <v>285</v>
      </c>
      <c r="D4" s="123">
        <v>-1</v>
      </c>
      <c r="E4" s="71"/>
      <c r="F4" s="124"/>
      <c r="G4" s="123"/>
      <c r="H4" s="71"/>
      <c r="I4" s="131"/>
      <c r="J4" s="123"/>
      <c r="K4" s="71"/>
      <c r="L4" s="124"/>
      <c r="M4" s="123"/>
      <c r="N4" s="71"/>
      <c r="O4" s="124"/>
      <c r="R4" s="269" t="s">
        <v>186</v>
      </c>
      <c r="S4" s="270">
        <v>2</v>
      </c>
      <c r="T4" s="271">
        <v>0</v>
      </c>
      <c r="Y4" s="152" t="s">
        <v>56</v>
      </c>
      <c r="Z4" s="117">
        <v>3</v>
      </c>
      <c r="AA4" s="119" t="s">
        <v>287</v>
      </c>
    </row>
    <row r="5" spans="1:27" ht="30" customHeight="1" x14ac:dyDescent="0.3">
      <c r="A5" s="152" t="s">
        <v>56</v>
      </c>
      <c r="B5" s="117">
        <v>3</v>
      </c>
      <c r="C5" s="119" t="s">
        <v>287</v>
      </c>
      <c r="D5" s="123">
        <v>18</v>
      </c>
      <c r="E5" s="71">
        <v>18</v>
      </c>
      <c r="F5" s="124">
        <v>6</v>
      </c>
      <c r="G5" s="123">
        <v>3</v>
      </c>
      <c r="H5" s="71">
        <v>16</v>
      </c>
      <c r="I5" s="131">
        <v>6</v>
      </c>
      <c r="J5" s="123">
        <v>-1</v>
      </c>
      <c r="K5" s="71"/>
      <c r="L5" s="124"/>
      <c r="M5" s="123"/>
      <c r="N5" s="71"/>
      <c r="O5" s="124"/>
      <c r="R5" s="269" t="s">
        <v>322</v>
      </c>
      <c r="S5" s="270">
        <v>3</v>
      </c>
      <c r="T5" s="271">
        <v>29</v>
      </c>
      <c r="Y5" s="152" t="s">
        <v>258</v>
      </c>
      <c r="Z5" s="117">
        <v>4</v>
      </c>
      <c r="AA5" s="119" t="s">
        <v>286</v>
      </c>
    </row>
    <row r="6" spans="1:27" ht="30" customHeight="1" x14ac:dyDescent="0.3">
      <c r="A6" s="152" t="s">
        <v>258</v>
      </c>
      <c r="B6" s="117">
        <v>4</v>
      </c>
      <c r="C6" s="119" t="s">
        <v>286</v>
      </c>
      <c r="D6" s="123">
        <v>8</v>
      </c>
      <c r="E6" s="71">
        <v>8</v>
      </c>
      <c r="F6" s="124">
        <v>4</v>
      </c>
      <c r="G6" s="123">
        <v>4</v>
      </c>
      <c r="H6" s="71">
        <v>6</v>
      </c>
      <c r="I6" s="131">
        <v>6</v>
      </c>
      <c r="J6" s="123">
        <v>-1</v>
      </c>
      <c r="K6" s="71"/>
      <c r="L6" s="124"/>
      <c r="M6" s="123"/>
      <c r="N6" s="71"/>
      <c r="O6" s="124"/>
      <c r="R6" s="269" t="s">
        <v>323</v>
      </c>
      <c r="S6" s="270">
        <v>4</v>
      </c>
      <c r="T6" s="271">
        <v>45</v>
      </c>
      <c r="Y6" s="152" t="s">
        <v>259</v>
      </c>
      <c r="Z6" s="117">
        <v>5</v>
      </c>
      <c r="AA6" s="119" t="s">
        <v>286</v>
      </c>
    </row>
    <row r="7" spans="1:27" ht="30" customHeight="1" x14ac:dyDescent="0.3">
      <c r="A7" s="152" t="s">
        <v>259</v>
      </c>
      <c r="B7" s="117">
        <v>5</v>
      </c>
      <c r="C7" s="119" t="s">
        <v>286</v>
      </c>
      <c r="D7" s="123">
        <v>18</v>
      </c>
      <c r="E7" s="71">
        <v>18</v>
      </c>
      <c r="F7" s="124">
        <v>6</v>
      </c>
      <c r="G7" s="123">
        <v>10</v>
      </c>
      <c r="H7" s="71">
        <v>15</v>
      </c>
      <c r="I7" s="131">
        <v>6</v>
      </c>
      <c r="J7" s="123">
        <v>-1</v>
      </c>
      <c r="K7" s="71"/>
      <c r="L7" s="124"/>
      <c r="M7" s="123"/>
      <c r="N7" s="71"/>
      <c r="O7" s="124"/>
      <c r="R7" s="269" t="s">
        <v>324</v>
      </c>
      <c r="S7" s="270">
        <v>5</v>
      </c>
      <c r="T7" s="271">
        <v>50</v>
      </c>
      <c r="Y7" s="152" t="s">
        <v>266</v>
      </c>
      <c r="Z7" s="117">
        <v>6</v>
      </c>
      <c r="AA7" s="119" t="s">
        <v>286</v>
      </c>
    </row>
    <row r="8" spans="1:27" ht="30" customHeight="1" x14ac:dyDescent="0.3">
      <c r="A8" s="152" t="s">
        <v>266</v>
      </c>
      <c r="B8" s="117">
        <v>6</v>
      </c>
      <c r="C8" s="119" t="s">
        <v>286</v>
      </c>
      <c r="D8" s="123">
        <v>25</v>
      </c>
      <c r="E8" s="71">
        <v>25</v>
      </c>
      <c r="F8" s="124">
        <v>4</v>
      </c>
      <c r="G8" s="123">
        <v>21</v>
      </c>
      <c r="H8" s="71">
        <v>23</v>
      </c>
      <c r="I8" s="131">
        <v>6</v>
      </c>
      <c r="J8" s="123">
        <v>-1</v>
      </c>
      <c r="K8" s="71"/>
      <c r="L8" s="124"/>
      <c r="M8" s="123"/>
      <c r="N8" s="71"/>
      <c r="O8" s="124"/>
      <c r="R8" s="269" t="s">
        <v>325</v>
      </c>
      <c r="S8" s="270">
        <v>6</v>
      </c>
      <c r="T8" s="271">
        <v>58</v>
      </c>
      <c r="Y8" s="152" t="s">
        <v>260</v>
      </c>
      <c r="Z8" s="117">
        <v>7</v>
      </c>
      <c r="AA8" s="119" t="s">
        <v>289</v>
      </c>
    </row>
    <row r="9" spans="1:27" ht="30" customHeight="1" x14ac:dyDescent="0.3">
      <c r="A9" s="152" t="s">
        <v>260</v>
      </c>
      <c r="B9" s="117">
        <v>7</v>
      </c>
      <c r="C9" s="119" t="s">
        <v>289</v>
      </c>
      <c r="D9" s="123">
        <v>9</v>
      </c>
      <c r="E9" s="71">
        <v>9</v>
      </c>
      <c r="F9" s="124">
        <v>4</v>
      </c>
      <c r="G9" s="123">
        <v>7</v>
      </c>
      <c r="H9" s="71">
        <v>7</v>
      </c>
      <c r="I9" s="131">
        <v>6</v>
      </c>
      <c r="J9" s="123">
        <v>-1</v>
      </c>
      <c r="K9" s="71"/>
      <c r="L9" s="124"/>
      <c r="M9" s="123"/>
      <c r="N9" s="71"/>
      <c r="O9" s="124"/>
      <c r="R9" s="269" t="s">
        <v>326</v>
      </c>
      <c r="S9" s="270">
        <v>7</v>
      </c>
      <c r="T9" s="271">
        <v>63</v>
      </c>
      <c r="Y9" s="152" t="s">
        <v>261</v>
      </c>
      <c r="Z9" s="117">
        <v>8</v>
      </c>
      <c r="AA9" s="119" t="s">
        <v>289</v>
      </c>
    </row>
    <row r="10" spans="1:27" ht="30" customHeight="1" x14ac:dyDescent="0.3">
      <c r="A10" s="152" t="s">
        <v>261</v>
      </c>
      <c r="B10" s="117">
        <v>8</v>
      </c>
      <c r="C10" s="119" t="s">
        <v>289</v>
      </c>
      <c r="D10" s="123">
        <v>16</v>
      </c>
      <c r="E10" s="71">
        <v>16</v>
      </c>
      <c r="F10" s="124">
        <v>4</v>
      </c>
      <c r="G10" s="123">
        <v>12</v>
      </c>
      <c r="H10" s="71">
        <v>13</v>
      </c>
      <c r="I10" s="131">
        <v>6</v>
      </c>
      <c r="J10" s="123">
        <v>-1</v>
      </c>
      <c r="K10" s="71"/>
      <c r="L10" s="124"/>
      <c r="M10" s="123"/>
      <c r="N10" s="71"/>
      <c r="O10" s="124"/>
      <c r="R10" s="269" t="s">
        <v>327</v>
      </c>
      <c r="S10" s="270">
        <v>8</v>
      </c>
      <c r="T10" s="271">
        <v>66</v>
      </c>
      <c r="Y10" s="152" t="s">
        <v>262</v>
      </c>
      <c r="Z10" s="117">
        <v>9</v>
      </c>
      <c r="AA10" s="119" t="s">
        <v>290</v>
      </c>
    </row>
    <row r="11" spans="1:27" ht="30" customHeight="1" x14ac:dyDescent="0.3">
      <c r="A11" s="152" t="s">
        <v>262</v>
      </c>
      <c r="B11" s="117">
        <v>9</v>
      </c>
      <c r="C11" s="119" t="s">
        <v>290</v>
      </c>
      <c r="D11" s="123">
        <v>16</v>
      </c>
      <c r="E11" s="71">
        <v>16</v>
      </c>
      <c r="F11" s="124">
        <v>4</v>
      </c>
      <c r="G11" s="123">
        <v>3</v>
      </c>
      <c r="H11" s="71">
        <v>13</v>
      </c>
      <c r="I11" s="131">
        <v>6</v>
      </c>
      <c r="J11" s="123">
        <v>-1</v>
      </c>
      <c r="K11" s="71"/>
      <c r="L11" s="124"/>
      <c r="M11" s="123"/>
      <c r="N11" s="71"/>
      <c r="O11" s="124"/>
      <c r="R11" s="269" t="s">
        <v>443</v>
      </c>
      <c r="S11" s="270">
        <v>9</v>
      </c>
      <c r="T11" s="271">
        <v>70</v>
      </c>
      <c r="Y11" s="152" t="s">
        <v>133</v>
      </c>
      <c r="Z11" s="117">
        <v>10</v>
      </c>
      <c r="AA11" s="119" t="s">
        <v>288</v>
      </c>
    </row>
    <row r="12" spans="1:27" ht="30" customHeight="1" x14ac:dyDescent="0.3">
      <c r="A12" s="152" t="s">
        <v>133</v>
      </c>
      <c r="B12" s="117">
        <v>10</v>
      </c>
      <c r="C12" s="119" t="s">
        <v>288</v>
      </c>
      <c r="D12" s="123">
        <v>20</v>
      </c>
      <c r="E12" s="71">
        <v>20</v>
      </c>
      <c r="F12" s="124">
        <v>4</v>
      </c>
      <c r="G12" s="123">
        <v>3</v>
      </c>
      <c r="H12" s="71">
        <v>17</v>
      </c>
      <c r="I12" s="131">
        <v>6</v>
      </c>
      <c r="J12" s="123">
        <v>-1</v>
      </c>
      <c r="K12" s="71"/>
      <c r="L12" s="124"/>
      <c r="M12" s="123"/>
      <c r="N12" s="71"/>
      <c r="O12" s="124"/>
      <c r="R12" s="269" t="s">
        <v>444</v>
      </c>
      <c r="S12" s="270">
        <v>10</v>
      </c>
      <c r="T12" s="271">
        <v>83</v>
      </c>
      <c r="Y12" s="152" t="s">
        <v>267</v>
      </c>
      <c r="Z12" s="117">
        <v>11</v>
      </c>
      <c r="AA12" s="119" t="s">
        <v>291</v>
      </c>
    </row>
    <row r="13" spans="1:27" ht="30" customHeight="1" x14ac:dyDescent="0.3">
      <c r="A13" s="152" t="s">
        <v>267</v>
      </c>
      <c r="B13" s="117">
        <v>11</v>
      </c>
      <c r="C13" s="119" t="s">
        <v>291</v>
      </c>
      <c r="D13" s="123">
        <v>9</v>
      </c>
      <c r="E13" s="71">
        <v>9</v>
      </c>
      <c r="F13" s="124">
        <v>4</v>
      </c>
      <c r="G13" s="123">
        <v>3</v>
      </c>
      <c r="H13" s="71">
        <v>7</v>
      </c>
      <c r="I13" s="131">
        <v>6</v>
      </c>
      <c r="J13" s="123">
        <v>-1</v>
      </c>
      <c r="K13" s="71"/>
      <c r="L13" s="124"/>
      <c r="M13" s="123"/>
      <c r="N13" s="71"/>
      <c r="O13" s="124"/>
      <c r="R13" s="269" t="s">
        <v>328</v>
      </c>
      <c r="S13" s="270">
        <v>11</v>
      </c>
      <c r="T13" s="271">
        <v>100</v>
      </c>
      <c r="Y13" s="152" t="s">
        <v>263</v>
      </c>
      <c r="Z13" s="117">
        <v>12</v>
      </c>
      <c r="AA13" s="119" t="s">
        <v>292</v>
      </c>
    </row>
    <row r="14" spans="1:27" ht="30" customHeight="1" x14ac:dyDescent="0.3">
      <c r="A14" s="152" t="s">
        <v>263</v>
      </c>
      <c r="B14" s="117">
        <v>12</v>
      </c>
      <c r="C14" s="119" t="s">
        <v>292</v>
      </c>
      <c r="D14" s="123">
        <v>16</v>
      </c>
      <c r="E14" s="71">
        <v>16</v>
      </c>
      <c r="F14" s="124">
        <v>5</v>
      </c>
      <c r="G14" s="123">
        <v>4</v>
      </c>
      <c r="H14" s="135">
        <v>13</v>
      </c>
      <c r="I14" s="181">
        <v>6</v>
      </c>
      <c r="J14" s="182">
        <v>-1</v>
      </c>
      <c r="K14" s="71"/>
      <c r="L14" s="124"/>
      <c r="M14" s="123"/>
      <c r="N14" s="71"/>
      <c r="O14" s="124"/>
      <c r="R14" s="269" t="s">
        <v>329</v>
      </c>
      <c r="S14" s="270">
        <v>12</v>
      </c>
      <c r="T14" s="271">
        <v>107</v>
      </c>
      <c r="Y14" s="152" t="s">
        <v>264</v>
      </c>
      <c r="Z14" s="117">
        <v>13</v>
      </c>
      <c r="AA14" s="119" t="s">
        <v>292</v>
      </c>
    </row>
    <row r="15" spans="1:27" ht="30" customHeight="1" x14ac:dyDescent="0.3">
      <c r="A15" s="152" t="s">
        <v>264</v>
      </c>
      <c r="B15" s="117">
        <v>13</v>
      </c>
      <c r="C15" s="119" t="s">
        <v>292</v>
      </c>
      <c r="D15" s="123">
        <v>0</v>
      </c>
      <c r="E15" s="71"/>
      <c r="F15" s="124"/>
      <c r="G15" s="123">
        <v>19</v>
      </c>
      <c r="H15" s="135">
        <v>20</v>
      </c>
      <c r="I15" s="181">
        <v>6</v>
      </c>
      <c r="J15" s="134">
        <v>-1</v>
      </c>
      <c r="K15" s="71"/>
      <c r="L15" s="124"/>
      <c r="M15" s="123"/>
      <c r="N15" s="71"/>
      <c r="O15" s="124"/>
      <c r="R15" s="269" t="s">
        <v>330</v>
      </c>
      <c r="S15" s="270">
        <v>13</v>
      </c>
      <c r="T15" s="271">
        <v>119</v>
      </c>
      <c r="Y15" s="153" t="s">
        <v>265</v>
      </c>
      <c r="Z15" s="121">
        <v>14</v>
      </c>
      <c r="AA15" s="122" t="s">
        <v>292</v>
      </c>
    </row>
    <row r="16" spans="1:27" ht="30" customHeight="1" thickBot="1" x14ac:dyDescent="0.35">
      <c r="A16" s="153" t="s">
        <v>265</v>
      </c>
      <c r="B16" s="121">
        <v>14</v>
      </c>
      <c r="C16" s="122" t="s">
        <v>292</v>
      </c>
      <c r="D16" s="125">
        <v>0</v>
      </c>
      <c r="E16" s="126"/>
      <c r="F16" s="127"/>
      <c r="G16" s="125">
        <v>23</v>
      </c>
      <c r="H16" s="126">
        <v>25</v>
      </c>
      <c r="I16" s="132">
        <v>6</v>
      </c>
      <c r="J16" s="125">
        <v>-1</v>
      </c>
      <c r="K16" s="126"/>
      <c r="L16" s="127"/>
      <c r="M16" s="125"/>
      <c r="N16" s="126"/>
      <c r="O16" s="127"/>
      <c r="R16" s="272" t="s">
        <v>331</v>
      </c>
      <c r="S16" s="273">
        <v>14</v>
      </c>
      <c r="T16" s="274">
        <v>123</v>
      </c>
      <c r="Y16" s="153" t="s">
        <v>296</v>
      </c>
      <c r="Z16" s="121">
        <v>15</v>
      </c>
      <c r="AA16" s="122"/>
    </row>
    <row r="17" spans="1:15" ht="30" customHeight="1" x14ac:dyDescent="0.3">
      <c r="A17" s="153" t="s">
        <v>296</v>
      </c>
      <c r="B17" s="121">
        <v>15</v>
      </c>
      <c r="C17" s="122"/>
      <c r="D17" s="125">
        <v>-1</v>
      </c>
      <c r="E17" s="126"/>
      <c r="F17" s="127"/>
      <c r="G17" s="125"/>
      <c r="H17" s="126"/>
      <c r="I17" s="132"/>
      <c r="J17" s="125"/>
      <c r="K17" s="126"/>
      <c r="L17" s="127"/>
      <c r="M17" s="125"/>
      <c r="N17" s="126"/>
      <c r="O17" s="127"/>
    </row>
    <row r="18" spans="1:15" ht="30" customHeight="1" thickBot="1" x14ac:dyDescent="0.35">
      <c r="A18" s="154" t="s">
        <v>293</v>
      </c>
      <c r="B18" s="118">
        <v>16</v>
      </c>
      <c r="C18" s="120" t="s">
        <v>294</v>
      </c>
      <c r="D18" s="128">
        <v>3</v>
      </c>
      <c r="E18" s="129">
        <v>32</v>
      </c>
      <c r="F18" s="130">
        <v>4</v>
      </c>
      <c r="G18" s="128">
        <v>-1</v>
      </c>
      <c r="H18" s="129"/>
      <c r="I18" s="133"/>
      <c r="J18" s="128"/>
      <c r="K18" s="129"/>
      <c r="L18" s="130"/>
      <c r="M18" s="128"/>
      <c r="N18" s="129"/>
      <c r="O18" s="130"/>
    </row>
    <row r="19" spans="1:15" ht="30" customHeight="1" x14ac:dyDescent="0.3"/>
  </sheetData>
  <customSheetViews>
    <customSheetView guid="{468281ED-4ADC-4BB5-9EE5-E9016B5EB30D}" scale="115" topLeftCell="A6">
      <selection activeCell="G11" sqref="G11"/>
      <pageMargins left="0.7" right="0.7" top="0.75" bottom="0.75" header="0.3" footer="0.3"/>
      <pageSetup paperSize="9" orientation="portrait" horizontalDpi="4294967293" verticalDpi="0" r:id="rId1"/>
    </customSheetView>
  </customSheetViews>
  <mergeCells count="5">
    <mergeCell ref="G1:I1"/>
    <mergeCell ref="J1:L1"/>
    <mergeCell ref="M1:O1"/>
    <mergeCell ref="D1:F1"/>
    <mergeCell ref="R1:T1"/>
  </mergeCells>
  <pageMargins left="0.7" right="0.7" top="0.75" bottom="0.75" header="0.3" footer="0.3"/>
  <pageSetup paperSize="9" orientation="portrait" horizontalDpi="4294967293" verticalDpi="0" r:id="rId2"/>
  <drawing r:id="rId3"/>
  <legacyDrawing r:id="rId4"/>
  <controls>
    <mc:AlternateContent xmlns:mc="http://schemas.openxmlformats.org/markup-compatibility/2006">
      <mc:Choice Requires="x14">
        <control shapeId="1025" r:id="rId5" name="CommandButton1">
          <controlPr defaultSize="0" autoLine="0" r:id="rId6">
            <anchor moveWithCells="1">
              <from>
                <xdr:col>15</xdr:col>
                <xdr:colOff>297180</xdr:colOff>
                <xdr:row>1</xdr:row>
                <xdr:rowOff>0</xdr:rowOff>
              </from>
              <to>
                <xdr:col>17</xdr:col>
                <xdr:colOff>15240</xdr:colOff>
                <xdr:row>2</xdr:row>
                <xdr:rowOff>38100</xdr:rowOff>
              </to>
            </anchor>
          </controlPr>
        </control>
      </mc:Choice>
      <mc:Fallback>
        <control shapeId="1025" r:id="rId5" name="CommandButton1"/>
      </mc:Fallback>
    </mc:AlternateContent>
    <mc:AlternateContent xmlns:mc="http://schemas.openxmlformats.org/markup-compatibility/2006">
      <mc:Choice Requires="x14">
        <control shapeId="1026" r:id="rId7" name="CommandButton2">
          <controlPr defaultSize="0" autoLine="0" r:id="rId8">
            <anchor moveWithCells="1">
              <from>
                <xdr:col>15</xdr:col>
                <xdr:colOff>297180</xdr:colOff>
                <xdr:row>2</xdr:row>
                <xdr:rowOff>373380</xdr:rowOff>
              </from>
              <to>
                <xdr:col>17</xdr:col>
                <xdr:colOff>15240</xdr:colOff>
                <xdr:row>4</xdr:row>
                <xdr:rowOff>129540</xdr:rowOff>
              </to>
            </anchor>
          </controlPr>
        </control>
      </mc:Choice>
      <mc:Fallback>
        <control shapeId="1026" r:id="rId7" name="CommandButton2"/>
      </mc:Fallback>
    </mc:AlternateContent>
  </control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16</vt:i4>
      </vt:variant>
      <vt:variant>
        <vt:lpstr>Named Ranges</vt:lpstr>
      </vt:variant>
      <vt:variant>
        <vt:i4>13</vt:i4>
      </vt:variant>
    </vt:vector>
  </HeadingPairs>
  <TitlesOfParts>
    <vt:vector size="29" baseType="lpstr">
      <vt:lpstr>Names</vt:lpstr>
      <vt:lpstr>Classes</vt:lpstr>
      <vt:lpstr>Sheet2</vt:lpstr>
      <vt:lpstr>A-Vegs.</vt:lpstr>
      <vt:lpstr>B-Flowers</vt:lpstr>
      <vt:lpstr>C+D+E</vt:lpstr>
      <vt:lpstr>F+G</vt:lpstr>
      <vt:lpstr>K-Jams</vt:lpstr>
      <vt:lpstr>L-Bakng</vt:lpstr>
      <vt:lpstr>M-Drinks</vt:lpstr>
      <vt:lpstr>N+P+Q</vt:lpstr>
      <vt:lpstr>Bests</vt:lpstr>
      <vt:lpstr>Strathy Report</vt:lpstr>
      <vt:lpstr>Awards</vt:lpstr>
      <vt:lpstr>Spud weights</vt:lpstr>
      <vt:lpstr>Sections</vt:lpstr>
      <vt:lpstr>'A-Vegs.'!Print_Area</vt:lpstr>
      <vt:lpstr>Awards!Print_Area</vt:lpstr>
      <vt:lpstr>Bests!Print_Area</vt:lpstr>
      <vt:lpstr>'B-Flowers'!Print_Area</vt:lpstr>
      <vt:lpstr>'C+D+E'!Print_Area</vt:lpstr>
      <vt:lpstr>Classes!Print_Area</vt:lpstr>
      <vt:lpstr>'F+G'!Print_Area</vt:lpstr>
      <vt:lpstr>'K-Jams'!Print_Area</vt:lpstr>
      <vt:lpstr>'L-Bakng'!Print_Area</vt:lpstr>
      <vt:lpstr>'M-Drinks'!Print_Area</vt:lpstr>
      <vt:lpstr>'N+P+Q'!Print_Area</vt:lpstr>
      <vt:lpstr>Names!Print_Area</vt:lpstr>
      <vt:lpstr>'Spud weights'!Print_Area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George</dc:creator>
  <cp:lastModifiedBy>Mark Thomas</cp:lastModifiedBy>
  <cp:lastPrinted>2019-08-18T17:22:27Z</cp:lastPrinted>
  <dcterms:created xsi:type="dcterms:W3CDTF">2013-09-24T17:05:06Z</dcterms:created>
  <dcterms:modified xsi:type="dcterms:W3CDTF">2022-12-18T16:21:58Z</dcterms:modified>
</cp:coreProperties>
</file>